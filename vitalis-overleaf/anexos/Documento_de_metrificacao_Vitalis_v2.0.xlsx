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20730" windowHeight="8910"/>
  </bookViews>
  <sheets>
    <sheet name="Estimativa" sheetId="1" r:id="rId1"/>
    <sheet name="Recursos" sheetId="2" r:id="rId2"/>
    <sheet name="Instruções" sheetId="3" r:id="rId3"/>
  </sheets>
  <calcPr calcId="144525"/>
</workbook>
</file>

<file path=xl/calcChain.xml><?xml version="1.0" encoding="utf-8"?>
<calcChain xmlns="http://schemas.openxmlformats.org/spreadsheetml/2006/main">
  <c r="M14" i="1" l="1"/>
  <c r="Q14" i="1" s="1"/>
  <c r="R14" i="1" s="1"/>
  <c r="M15" i="1"/>
  <c r="Q15" i="1" s="1"/>
  <c r="M16" i="1"/>
  <c r="Q16" i="1"/>
  <c r="M17" i="1"/>
  <c r="Q17" i="1"/>
  <c r="M18" i="1"/>
  <c r="Q18" i="1"/>
  <c r="M19" i="1"/>
  <c r="Q19" i="1"/>
  <c r="M20" i="1"/>
  <c r="Q20" i="1"/>
  <c r="M21" i="1"/>
  <c r="Q21" i="1"/>
  <c r="R21" i="1"/>
  <c r="D22" i="1"/>
  <c r="E22" i="1"/>
  <c r="F22" i="1"/>
  <c r="G22" i="1"/>
  <c r="H22" i="1"/>
  <c r="I22" i="1"/>
  <c r="J22" i="1"/>
  <c r="K22" i="1"/>
  <c r="L22" i="1"/>
  <c r="C46" i="1"/>
  <c r="R19" i="1"/>
  <c r="S19" i="1"/>
  <c r="T19" i="1"/>
  <c r="D13" i="2"/>
  <c r="G13" i="2"/>
  <c r="R17" i="1"/>
  <c r="S17" i="1"/>
  <c r="T17" i="1"/>
  <c r="D11" i="2"/>
  <c r="G11" i="2"/>
  <c r="R18" i="1"/>
  <c r="T18" i="1"/>
  <c r="D12" i="2"/>
  <c r="G12" i="2"/>
  <c r="S18" i="1"/>
  <c r="R16" i="1"/>
  <c r="S16" i="1"/>
  <c r="T16" i="1"/>
  <c r="D10" i="2"/>
  <c r="G10" i="2"/>
  <c r="R20" i="1"/>
  <c r="S20" i="1"/>
  <c r="T20" i="1"/>
  <c r="D14" i="2"/>
  <c r="G14" i="2"/>
  <c r="S21" i="1"/>
  <c r="T21" i="1"/>
  <c r="D15" i="2"/>
  <c r="G15" i="2"/>
  <c r="R15" i="1" l="1"/>
  <c r="S15" i="1"/>
  <c r="M22" i="1"/>
  <c r="Q22" i="1"/>
  <c r="C20" i="2" s="1"/>
  <c r="S14" i="1"/>
  <c r="T14" i="1"/>
  <c r="S22" i="1" l="1"/>
  <c r="C21" i="2" s="1"/>
  <c r="T15" i="1"/>
  <c r="D9" i="2" s="1"/>
  <c r="G9" i="2" s="1"/>
  <c r="R22" i="1"/>
  <c r="C26" i="1"/>
  <c r="D8" i="2"/>
  <c r="T22" i="1" l="1"/>
  <c r="C27" i="1"/>
  <c r="C19" i="2"/>
  <c r="C25" i="1"/>
  <c r="G8" i="2"/>
  <c r="G16" i="2" s="1"/>
  <c r="C23" i="2" s="1"/>
  <c r="D16" i="2"/>
  <c r="C22" i="2" s="1"/>
  <c r="C28" i="1" l="1"/>
</calcChain>
</file>

<file path=xl/comments1.xml><?xml version="1.0" encoding="utf-8"?>
<comments xmlns="http://schemas.openxmlformats.org/spreadsheetml/2006/main">
  <authors>
    <author/>
  </authors>
  <commentList>
    <comment ref="D12" authorId="0">
      <text>
        <r>
          <rPr>
            <b/>
            <sz val="8"/>
            <color indexed="8"/>
            <rFont val="Tahoma"/>
            <family val="2"/>
          </rPr>
          <t xml:space="preserve">Informar a quantidade de Programas, da Função de Implementação, que serão criados ou mantidos.
Os programas obrigatoriamente devem ter as mesmas características (similares) para que possam ser agrupados e quantificados para uma mesma Função de Implementação. Caso contrário, informar a função em uma outra  linha de Função de Implementação
</t>
        </r>
      </text>
    </comment>
    <comment ref="Q12" authorId="0">
      <text>
        <r>
          <rPr>
            <b/>
            <sz val="8"/>
            <color indexed="8"/>
            <rFont val="Tahoma"/>
            <family val="2"/>
          </rPr>
          <t xml:space="preserve">Quantidade de horas a serem gastas na Construção (Projeto Físico -  programação, criação de tabelas, scripts, procedures, etc) 
Calculada automaticamente pela ferramenta a partir do Tamanho e dos Fatores de Esforço informado   
</t>
        </r>
      </text>
    </comment>
    <comment ref="R12" authorId="0">
      <text>
        <r>
          <rPr>
            <b/>
            <sz val="8"/>
            <color indexed="8"/>
            <rFont val="Tahoma"/>
            <family val="2"/>
          </rPr>
          <t>Quantidade de horas a serem gastas na Especificação Lógica e Física da Função de Implementação (Projeto Lógico -  especificação de negócio, estimativas, especificação de programa) 
Calculada automaticamente pela ferramenta a partir do  Esforço de Construção e da aplicação de % correspondente para este segmento.</t>
        </r>
      </text>
    </comment>
    <comment ref="S12" authorId="0">
      <text>
        <r>
          <rPr>
            <b/>
            <sz val="8"/>
            <color indexed="8"/>
            <rFont val="Tahoma"/>
            <family val="2"/>
          </rPr>
          <t xml:space="preserve">Quantidade de horas a serem gastas em Testes (somente testes de funcionalidade pelos recursos do desenvolvimento - analistas e programadores CPM Braxis)
Calculada automaticamente pela ferramenta a partir do  Esforço de Construção e da aplicação de % correspondente para este segmento.
</t>
        </r>
      </text>
    </comment>
    <comment ref="T12" authorId="0">
      <text>
        <r>
          <rPr>
            <b/>
            <sz val="8"/>
            <color indexed="8"/>
            <rFont val="Tahoma"/>
            <family val="2"/>
          </rPr>
          <t xml:space="preserve">Quantidade total de horas a serem gastas para implementar a funcionalidade, sem considerar o perfil do recurso envolvido para a sua execução.
</t>
        </r>
        <r>
          <rPr>
            <sz val="8"/>
            <color indexed="8"/>
            <rFont val="Tahoma"/>
            <family val="2"/>
          </rPr>
          <t xml:space="preserve">
</t>
        </r>
        <r>
          <rPr>
            <b/>
            <sz val="8"/>
            <color indexed="8"/>
            <rFont val="Tahoma"/>
            <family val="2"/>
          </rPr>
          <t>Calculada automaticamente pela ferramenta a partir do somatório do esforço dos 3 segmentos (Especificação, Construção e testes) .</t>
        </r>
      </text>
    </comment>
    <comment ref="E13" authorId="0">
      <text>
        <r>
          <rPr>
            <b/>
            <sz val="8"/>
            <color indexed="8"/>
            <rFont val="Tahoma"/>
            <family val="2"/>
          </rPr>
          <t xml:space="preserve"> Analisar quanto ao número de campos na tela
Campos na tela      Dificuldade    Pontos
</t>
        </r>
        <r>
          <rPr>
            <sz val="8"/>
            <color indexed="8"/>
            <rFont val="Tahoma"/>
            <family val="2"/>
          </rPr>
          <t xml:space="preserve">até 4 campos                  Simples               2
de 5 a 10 campos            Média                 3
acima de 10 campos       Complexa            4  </t>
        </r>
      </text>
    </comment>
    <comment ref="F13" authorId="0">
      <text>
        <r>
          <rPr>
            <b/>
            <sz val="8"/>
            <color indexed="8"/>
            <rFont val="Tahoma"/>
            <family val="2"/>
          </rPr>
          <t xml:space="preserve">Analisar quanto ao número de campos referenciados 
Campos referenciados      Dificuldade    Pontos
</t>
        </r>
        <r>
          <rPr>
            <sz val="8"/>
            <color indexed="8"/>
            <rFont val="Tahoma"/>
            <family val="2"/>
          </rPr>
          <t xml:space="preserve">  até 4 campos                              Simples             1
  de 5 a 10 campos                       Média                2
 acima de 10 campos                    Complexa          3</t>
        </r>
      </text>
    </comment>
    <comment ref="G13" authorId="0">
      <text>
        <r>
          <rPr>
            <b/>
            <sz val="8"/>
            <color indexed="8"/>
            <rFont val="Tahoma"/>
            <family val="2"/>
          </rPr>
          <t xml:space="preserve">Considerar as regras e os detalhes de quebra de cada relatório
Campos               Dificuldade   Pontos
</t>
        </r>
        <r>
          <rPr>
            <sz val="8"/>
            <color indexed="8"/>
            <rFont val="Tahoma"/>
            <family val="2"/>
          </rPr>
          <t>até 8 campos             Simples              1
de 9 a 16 campos      Média                 2
acima de 16 campos  Complexa           3</t>
        </r>
      </text>
    </comment>
    <comment ref="H13" authorId="0">
      <text>
        <r>
          <rPr>
            <b/>
            <sz val="8"/>
            <color indexed="8"/>
            <rFont val="Tahoma"/>
            <family val="2"/>
          </rPr>
          <t xml:space="preserve">Analisar quanto à quantidade de tabelas físicas referenciadas
Qtde                         Dificuldade   Pontos
</t>
        </r>
        <r>
          <rPr>
            <sz val="8"/>
            <color indexed="8"/>
            <rFont val="Tahoma"/>
            <family val="2"/>
          </rPr>
          <t>até 6 tabelas                Simples             1
de 7 a 15 tabelas          Média               2
acima de 15 tabelas     Complexa         3</t>
        </r>
      </text>
    </comment>
    <comment ref="I13" authorId="0">
      <text>
        <r>
          <rPr>
            <b/>
            <sz val="8"/>
            <color indexed="8"/>
            <rFont val="Tahoma"/>
            <family val="2"/>
          </rPr>
          <t xml:space="preserve">Analisar quanto à Plataforma utilizada
Plataforma                                 Dificuldade      Pontos
</t>
        </r>
        <r>
          <rPr>
            <sz val="8"/>
            <color indexed="8"/>
            <rFont val="Tahoma"/>
            <family val="2"/>
          </rPr>
          <t xml:space="preserve">BD Relacional                                 Simples               1
BD Não Relacional  / Texto            Média                 2
Unix                                               Complexa           3
</t>
        </r>
      </text>
    </comment>
    <comment ref="J13" authorId="0">
      <text>
        <r>
          <rPr>
            <b/>
            <sz val="8"/>
            <color indexed="8"/>
            <rFont val="Tahoma"/>
            <family val="2"/>
          </rPr>
          <t xml:space="preserve">Analisar quanto à Linguagem utilizada pelo programa
Linguagem                                             Dificuldade           Pontos
</t>
        </r>
        <r>
          <rPr>
            <sz val="8"/>
            <color indexed="8"/>
            <rFont val="Tahoma"/>
            <family val="2"/>
          </rPr>
          <t xml:space="preserve">HTML / Access / Natural / Easytrieve/
Lotus Notes                                                      Simples                    1
VB / Delphi / ASP / Clipper / MS SQL /
PL/SQL / Centura / Cobol / SAS                       Média                       2
Java/Java Script/C#/Ajax/C++/MFS              Complexa                 3    </t>
        </r>
      </text>
    </comment>
    <comment ref="K13" authorId="0">
      <text>
        <r>
          <rPr>
            <b/>
            <sz val="8"/>
            <color indexed="8"/>
            <rFont val="Tahoma"/>
            <family val="2"/>
          </rPr>
          <t xml:space="preserve">Considerar todo o processo necessário para construção ou manutenção de uma interface. A interface pode ser via Dblink, através de arquivo texto e/ou o número de tratamentos que esta irá necessitar 
Descrição                    Dificuldade       Pontos
</t>
        </r>
        <r>
          <rPr>
            <sz val="8"/>
            <color indexed="8"/>
            <rFont val="Tahoma"/>
            <family val="2"/>
          </rPr>
          <t xml:space="preserve">Não tem  interface            -------------             0
Só Leitura                            Média                   2
Leitura e gravação              Complexa             3
</t>
        </r>
      </text>
    </comment>
    <comment ref="L13" authorId="0">
      <text>
        <r>
          <rPr>
            <b/>
            <sz val="8"/>
            <color indexed="8"/>
            <rFont val="Tahoma"/>
            <family val="2"/>
          </rPr>
          <t xml:space="preserve">Analisar quanto ao ambiente de desenvolvimento
Tipo                            Dificuldade      Pontos
</t>
        </r>
        <r>
          <rPr>
            <sz val="8"/>
            <color indexed="8"/>
            <rFont val="Tahoma"/>
            <family val="2"/>
          </rPr>
          <t xml:space="preserve">Rotina ON-Line C/S         Simples                 1
Rotina On-Line Web
Rotina Batch                    Média                   2
Rotina On-Line MF           Complexa             3
</t>
        </r>
      </text>
    </comment>
    <comment ref="M13" authorId="0">
      <text>
        <r>
          <rPr>
            <b/>
            <sz val="8"/>
            <color indexed="8"/>
            <rFont val="Tahoma"/>
            <family val="2"/>
          </rPr>
          <t xml:space="preserve">Refere-se ao tamanho (em pontos) da Função de Implementação  
</t>
        </r>
      </text>
    </comment>
    <comment ref="N13" authorId="0">
      <text>
        <r>
          <rPr>
            <b/>
            <sz val="8"/>
            <color indexed="8"/>
            <rFont val="Tahoma"/>
            <family val="2"/>
          </rPr>
          <t xml:space="preserve">Analisar se para realizar a atividade é necessário a construção de um programa novo ou efetuada uma alteração de programa
Descrição                Fator
</t>
        </r>
        <r>
          <rPr>
            <sz val="8"/>
            <color indexed="8"/>
            <rFont val="Tahoma"/>
            <family val="2"/>
          </rPr>
          <t xml:space="preserve">Alteração Programa -    1
Programa Novo        -    1,2 </t>
        </r>
      </text>
    </comment>
    <comment ref="O13" authorId="0">
      <text>
        <r>
          <rPr>
            <b/>
            <sz val="8"/>
            <color indexed="8"/>
            <rFont val="Tahoma"/>
            <family val="2"/>
          </rPr>
          <t xml:space="preserve">A reutilização é menor (fator maior) quando a nova funcionalidade ainda não existe ou quando pouco pode ser aproveitado. Quanto maior o reaproveitamento do código, menor o fator 
Reutilização                                             Dificuldade          Fator
</t>
        </r>
        <r>
          <rPr>
            <sz val="8"/>
            <color indexed="8"/>
            <rFont val="Tahoma"/>
            <family val="2"/>
          </rPr>
          <t xml:space="preserve">até 10% de utilização do código                    Baixo                       1
de 11% a 50% de utilização do código         Médio                      0,75
acima de 50% de utilização do código           Alto                         0,5 </t>
        </r>
      </text>
    </comment>
    <comment ref="P13" authorId="0">
      <text>
        <r>
          <rPr>
            <b/>
            <sz val="8"/>
            <color indexed="8"/>
            <rFont val="Tahoma"/>
            <family val="2"/>
          </rPr>
          <t xml:space="preserve">Fator que funciona como agravante ou atenuante da complexidade geral da Função de Implementação.
Verifique qual seria a média do grau de dificuldade (considere as dificuldades informadas) e selecione o fator de dificuldade da Complexidade de Manutenção que mais se aproxime da média de dificuldade 
Dificuldade         Fator
</t>
        </r>
        <r>
          <rPr>
            <sz val="8"/>
            <color indexed="8"/>
            <rFont val="Tahoma"/>
            <family val="2"/>
          </rPr>
          <t xml:space="preserve">Muito Simples           0,6
Simples                     0.9
Média                       1,2
Alta                          1,8
Complexa                 2,4
Muito Complexa       3,6
Super Complexa      4,8 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6" authorId="0">
      <text>
        <r>
          <rPr>
            <b/>
            <sz val="8"/>
            <color indexed="8"/>
            <rFont val="Tahoma"/>
            <family val="2"/>
          </rPr>
          <t xml:space="preserve">Quantidade total de horas a serem gastas para implementar a funcionalidade, sem considerar o perfil do recurso envolvido para a sua execução.
</t>
        </r>
        <r>
          <rPr>
            <sz val="8"/>
            <color indexed="8"/>
            <rFont val="Tahoma"/>
            <family val="2"/>
          </rPr>
          <t xml:space="preserve">
</t>
        </r>
        <r>
          <rPr>
            <b/>
            <sz val="8"/>
            <color indexed="8"/>
            <rFont val="Tahoma"/>
            <family val="2"/>
          </rPr>
          <t>Calculada automaticamente pela ferramenta a partir do somatório do esforço dos 3 segmentos (Especificação, Construção e testes) .</t>
        </r>
      </text>
    </comment>
    <comment ref="G6" authorId="0">
      <text>
        <r>
          <rPr>
            <b/>
            <sz val="8"/>
            <color indexed="8"/>
            <rFont val="Tahoma"/>
            <family val="2"/>
          </rPr>
          <t xml:space="preserve">Quantidade total de horas a serem gastas para implementar a funcionalidade, considerando o perfil do recurso envolvido para a sua execução.
Calculada automaticamente pela ferramenta a partir do Total de Esforço com aplicação do percentual de redução, com arredondamento para cima
</t>
        </r>
      </text>
    </comment>
    <comment ref="E7" authorId="0">
      <text>
        <r>
          <rPr>
            <b/>
            <sz val="8"/>
            <color indexed="8"/>
            <rFont val="Tahoma"/>
            <family val="2"/>
          </rPr>
          <t xml:space="preserve">Identificar o </t>
        </r>
        <r>
          <rPr>
            <b/>
            <i/>
            <sz val="8"/>
            <color indexed="8"/>
            <rFont val="Tahoma"/>
            <family val="2"/>
          </rPr>
          <t xml:space="preserve">nível de conhecimento </t>
        </r>
        <r>
          <rPr>
            <b/>
            <sz val="8"/>
            <color indexed="8"/>
            <rFont val="Tahoma"/>
            <family val="2"/>
          </rPr>
          <t xml:space="preserve">do recurso envolvido para executar a funcionalidade
</t>
        </r>
        <r>
          <rPr>
            <sz val="8"/>
            <color indexed="8"/>
            <rFont val="Tahoma"/>
            <family val="2"/>
          </rPr>
          <t xml:space="preserve">Nível 1 - pouco conhecimento 
Nível 2 - médio conhecimento
Nível 3 - muito conhecimento
</t>
        </r>
      </text>
    </comment>
    <comment ref="F7" authorId="0">
      <text>
        <r>
          <rPr>
            <b/>
            <sz val="8"/>
            <color indexed="8"/>
            <rFont val="Tahoma"/>
            <family val="2"/>
          </rPr>
          <t>Informar o percentual de redução a ser aplicado no Total de Esforço Bruto, referente ao tipo de recurso que executará a funcionalidade.
Quanto maior o conhecimento do recurso, maior o percentual de redução.</t>
        </r>
      </text>
    </comment>
  </commentList>
</comments>
</file>

<file path=xl/sharedStrings.xml><?xml version="1.0" encoding="utf-8"?>
<ns0:sst xmlns:ns0="http://schemas.openxmlformats.org/spreadsheetml/2006/main" count="213" uniqueCount="213">
  <ns0:si>
    <ns0:t>Métrica Função de Implementação - Estimativa</ns0:t>
  </ns0:si>
  <ns0:si>
    <ns0:t>Cliente:</ns0:t>
  </ns0:si>
  <ns0:si>
    <ns0:t>Projeto:</ns0:t>
  </ns0:si>
  <ns0:si>
    <ns0:t>Estimado por:</ns0:t>
  </ns0:si>
  <ns0:si>
    <ns0:t>Data Estimativa:</ns0:t>
  </ns0:si>
  <ns0:si>
    <ns0:t>Função de Implementação</ns0:t>
  </ns0:si>
  <ns0:si>
    <ns0:t>Qtde de programas</ns0:t>
  </ns0:si>
  <ns0:si>
    <ns0:t>Caracteristicas Internas de Programa</ns0:t>
  </ns0:si>
  <ns0:si>
    <ns0:t>Tipo de Serviço</ns0:t>
  </ns0:si>
  <ns0:si>
    <ns0:t>Ambiente de Desenvolvimento</ns0:t>
  </ns0:si>
  <ns0:si>
    <ns0:t>Tamanho</ns0:t>
  </ns0:si>
  <ns0:si>
    <ns0:t xml:space="preserve">Fatores de Esforço </ns0:t>
  </ns0:si>
  <ns0:si>
    <ns0:t>Esforço de Construção (Horas)</ns0:t>
  </ns0:si>
  <ns0:si>
    <ns0:t>Esforço Especificação Lógica/Física (Horas)</ns0:t>
  </ns0:si>
  <ns0:si>
    <ns0:t>Esforço Testes (Horas)</ns0:t>
  </ns0:si>
  <ns0:si>
    <ns0:t>Total de Esforço Bruto (Horas)</ns0:t>
  </ns0:si>
  <ns0:si>
    <ns0:t>Identificação</ns0:t>
  </ns0:si>
  <ns0:si>
    <ns0:t>Descrição</ns0:t>
  </ns0:si>
  <ns0:si>
    <ns0:t xml:space="preserve">Programa com Tela </ns0:t>
  </ns0:si>
  <ns0:si>
    <ns0:t>Programa sem Tela</ns0:t>
  </ns0:si>
  <ns0:si>
    <ns0:t>Programa com Relatório</ns0:t>
  </ns0:si>
  <ns0:si>
    <ns0:t>Qtde Tabelas</ns0:t>
  </ns0:si>
  <ns0:si>
    <ns0:t>Plataforma</ns0:t>
  </ns0:si>
  <ns0:si>
    <ns0:t>Linguagem</ns0:t>
  </ns0:si>
  <ns0:si>
    <ns0:t>Interfaces Externas</ns0:t>
  </ns0:si>
  <ns0:si>
    <ns0:t>Qtde Pontos de Implementação</ns0:t>
  </ns0:si>
  <ns0:si>
    <ns0:t>Esforço p/ Execução do Serviço</ns0:t>
  </ns0:si>
  <ns0:si>
    <ns0:t>Reutilização de Objetos</ns0:t>
  </ns0:si>
  <ns0:si>
    <ns0:t>Complexidade de Manutenção</ns0:t>
  </ns0:si>
  <ns0:si>
    <ns0:t>Total</ns0:t>
  </ns0:si>
  <ns0:si>
    <ns0:t>Resumo de Esforço Calculado</ns0:t>
  </ns0:si>
  <ns0:si>
    <ns0:t>Projeto</ns0:t>
  </ns0:si>
  <ns0:si>
    <ns0:t>Codificação</ns0:t>
  </ns0:si>
  <ns0:si>
    <ns0:t>Testes</ns0:t>
  </ns0:si>
  <ns0:si>
    <ns0:t>Esforço Bruto</ns0:t>
  </ns0:si>
  <ns0:si>
    <ns0:t>Prg tela</ns0:t>
  </ns0:si>
  <ns0:si>
    <ns0:t>Prg sem tela / com Relat / Tabelas</ns0:t>
  </ns0:si>
  <ns0:si>
    <ns0:t>Plataforma / Linguagem / Tipo Serviço</ns0:t>
  </ns0:si>
  <ns0:si>
    <ns0:t>Interfaces</ns0:t>
  </ns0:si>
  <ns0:si>
    <ns0:t>Esforço Serviço</ns0:t>
  </ns0:si>
  <ns0:si>
    <ns0:t>Reutilização</ns0:t>
  </ns0:si>
  <ns0:si>
    <ns0:t>Manutenção</ns0:t>
  </ns0:si>
  <ns0:si>
    <ns0:t>Tipo Recurso</ns0:t>
  </ns0:si>
  <ns0:si>
    <ns0:t>Junior</ns0:t>
  </ns0:si>
  <ns0:si>
    <ns0:t>Pleno</ns0:t>
  </ns0:si>
  <ns0:si>
    <ns0:t>Senior</ns0:t>
  </ns0:si>
  <ns0:si>
    <ns0:t>Recursos</ns0:t>
  </ns0:si>
  <ns0:si>
    <ns0:t>Total de Esforço (Horas)</ns0:t>
  </ns0:si>
  <ns0:si>
    <ns0:t>Nivel</ns0:t>
  </ns0:si>
  <ns0:si>
    <ns0:t>% Redução</ns0:t>
  </ns0:si>
  <ns0:si>
    <ns0:t>Nível 1</ns0:t>
  </ns0:si>
  <ns0:si>
    <ns0:t>Total Esforço</ns0:t>
  </ns0:si>
  <ns0:si>
    <ns0:t>Nivel Recurso</ns0:t>
  </ns0:si>
  <ns0:si>
    <ns0:t>Nível 2</ns0:t>
  </ns0:si>
  <ns0:si>
    <ns0:t>Nível 3</ns0:t>
  </ns0:si>
  <ns0:si>
    <ns0:t>Orientações para um bom preenchimento da planilha de Estimativa</ns0:t>
  </ns0:si>
  <ns0:si>
    <ns0:t>Existem colunas que possuem comentários sobre qual conteúdo pode ser aceito.</ns0:t>
  </ns0:si>
  <ns0:si>
    <ns0:t>Basta passar o mouse sobre o título da coluna para ver a explicação.</ns0:t>
  </ns0:si>
  <ns0:si>
    <ns0:t>Abaixo estão todos os comentários destas colunas, organizados por item</ns0:t>
  </ns0:si>
  <ns0:si>
    <ns0:t>Aba Estimativa</ns0:t>
  </ns0:si>
  <ns0:si>
    <ns0:t>Nome do projeto envolvido na estimativa</ns0:t>
  </ns0:si>
  <ns0:si>
    <ns0:t>Nome do Analista responsável pela estimativa do projeto</ns0:t>
  </ns0:si>
  <ns0:si>
    <ns0:t>Data da Estimativa:</ns0:t>
  </ns0:si>
  <ns0:si>
    <ns0:t>Data efetiva em que a estimativa foi concluída</ns0:t>
  </ns0:si>
  <ns0:si>
    <ns0:t>Função de Implementação:</ns0:t>
  </ns0:si>
  <ns0:si>
    <ns0:r>
      <ns0:t>Identificação = Pode ser um código para diferenciar cada implementação Ex.: N° do Caso de Unso, RN01</ns0:t>
    </ns0:r>
    <ns0:r>
      <ns0:rPr>
        <ns0:sz val="10"/>
        <ns0:rFont val="Arial"/>
        <ns0:family val="2"/>
      </ns0:rPr>
      <ns0:t>.</ns0:t>
    </ns0:r>
  </ns0:si>
  <ns0:si>
    <ns0:t>Descriçã = Breve descritivo da funcionalidade</ns0:t>
  </ns0:si>
  <ns0:si>
    <ns0:t>Qtde.de Programas:</ns0:t>
  </ns0:si>
  <ns0:si>
    <ns0:t>Informar a quantidade de Programas, da Função de Implementação, que serão criados ou mantidos.</ns0:t>
  </ns0:si>
  <ns0:si>
    <ns0:t>Os programas obrigatoriamente devem ter as mesmas características (similares) para que possam</ns0:t>
  </ns0:si>
  <ns0:si>
    <ns0:t>ser agrupados e quantificados para uma mesma "Função de Implementação".</ns0:t>
  </ns0:si>
  <ns0:si>
    <ns0:t>Caso contrário, informar a função em uma outra linha de "Função de Implementação"</ns0:t>
  </ns0:si>
  <ns0:si>
    <ns0:t>Características Internas:</ns0:t>
  </ns0:si>
  <ns0:si>
    <ns0:t>Programas COM Tela:</ns0:t>
  </ns0:si>
  <ns0:si>
    <ns0:t>Analisar quanto ao número de campos na tela. Os valores válidos são:</ns0:t>
  </ns0:si>
  <ns0:si>
    <ns0:t>Campos na Tela</ns0:t>
  </ns0:si>
  <ns0:si>
    <ns0:t>Dificuldade</ns0:t>
  </ns0:si>
  <ns0:si>
    <ns0:t>Pontos</ns0:t>
  </ns0:si>
  <ns0:si>
    <ns0:t>até 4 campos</ns0:t>
  </ns0:si>
  <ns0:si>
    <ns0:t>Simples</ns0:t>
  </ns0:si>
  <ns0:si>
    <ns0:t>de 5 a 10 campos</ns0:t>
  </ns0:si>
  <ns0:si>
    <ns0:t>Média</ns0:t>
  </ns0:si>
  <ns0:si>
    <ns0:t>acima de 10 campos</ns0:t>
  </ns0:si>
  <ns0:si>
    <ns0:t>Complexa</ns0:t>
  </ns0:si>
  <ns0:si>
    <ns0:t>Programas SEM Tela:</ns0:t>
  </ns0:si>
  <ns0:si>
    <ns0:t>Analisar quanto ao número de campos referenciados. Os valores válidos são:</ns0:t>
  </ns0:si>
  <ns0:si>
    <ns0:t>Campos Referenciados</ns0:t>
  </ns0:si>
  <ns0:si>
    <ns0:t>Programas com Relatório:</ns0:t>
  </ns0:si>
  <ns0:si>
    <ns0:t>Considerar as regras e os detalhes de quebra de cada relatório. Os valores válidos são:</ns0:t>
  </ns0:si>
  <ns0:si>
    <ns0:t>Campos Envolvidos</ns0:t>
  </ns0:si>
  <ns0:si>
    <ns0:t>até 8 campos</ns0:t>
  </ns0:si>
  <ns0:si>
    <ns0:t>de 9 a 16 campos</ns0:t>
  </ns0:si>
  <ns0:si>
    <ns0:t>acima de 16 campos</ns0:t>
  </ns0:si>
  <ns0:si>
    <ns0:t>Qtde de Tabelas:</ns0:t>
  </ns0:si>
  <ns0:si>
    <ns0:t>Analisar quanto à quantidade de tabelas físicas referenciadas. Os valores válidos são:</ns0:t>
  </ns0:si>
  <ns0:si>
    <ns0:t>Qtde</ns0:t>
  </ns0:si>
  <ns0:si>
    <ns0:t>até 6 tabelas</ns0:t>
  </ns0:si>
  <ns0:si>
    <ns0:t>de 7 a 15 tabelas</ns0:t>
  </ns0:si>
  <ns0:si>
    <ns0:t>acima de 15 tabelas</ns0:t>
  </ns0:si>
  <ns0:si>
    <ns0:t>Plataforma:</ns0:t>
  </ns0:si>
  <ns0:si>
    <ns0:t>Analisar quanto à Plataforma utilizada. Os valores válidos são:</ns0:t>
  </ns0:si>
  <ns0:si>
    <ns0:t>BD Relacional</ns0:t>
  </ns0:si>
  <ns0:si>
    <ns0:t>BD Não Relacional</ns0:t>
  </ns0:si>
  <ns0:si>
    <ns0:t>Texto</ns0:t>
  </ns0:si>
  <ns0:si>
    <ns0:t>Unix</ns0:t>
  </ns0:si>
  <ns0:si>
    <ns0:t>Linguagem:</ns0:t>
  </ns0:si>
  <ns0:si>
    <ns0:t>Analisar quanto à Linguagem utilizada pelo programa. Os valores válidos são:</ns0:t>
  </ns0:si>
  <ns0:si>
    <ns0:t>HTML/Access/Natural/Easytrieve/Lotus Notes</ns0:t>
  </ns0:si>
  <ns0:si>
    <ns0:t>VB/Delphi/PL-SQL/Centura/MS SQL</ns0:t>
  </ns0:si>
  <ns0:si>
    <ns0:t>COBOL/SAS/Clipper/Dataflex/ASP</ns0:t>
  </ns0:si>
  <ns0:si>
    <ns0:t>Java/Java Script/C#/Ajax/C++/MFS</ns0:t>
  </ns0:si>
  <ns0:si>
    <ns0:t>Interfaces Externas:</ns0:t>
  </ns0:si>
  <ns0:si>
    <ns0:r>
      <ns0:t xml:space="preserve">Considerar </ns0:t>
    </ns0:r>
    <ns0:r>
      <ns0:rPr>
        <ns0:u/>
        <ns0:sz val="10"/>
        <ns0:rFont val="Arial"/>
        <ns0:family val="2"/>
      </ns0:rPr>
      <ns0:t>todo o processo necessário</ns0:t>
    </ns0:r>
    <ns0:r>
      <ns0:rPr>
        <ns0:sz val="10"/>
        <ns0:rFont val="Arial"/>
        <ns0:family val="2"/>
      </ns0:rPr>
      <ns0:t xml:space="preserve"> para construção ou manutenção de uma interface.</ns0:t>
    </ns0:r>
  </ns0:si>
  <ns0:si>
    <ns0:t>A interface pode ser via DbLink, através de arquivo texto e/ou número de tratamentos que</ns0:t>
  </ns0:si>
  <ns0:si>
    <ns0:t>esta irá necessitar. Os valores válidos são:</ns0:t>
  </ns0:si>
  <ns0:si>
    <ns0:t>Não tem Interface</ns0:t>
  </ns0:si>
  <ns0:si>
    <ns0:t>----------------------</ns0:t>
  </ns0:si>
  <ns0:si>
    <ns0:t>Só leitura</ns0:t>
  </ns0:si>
  <ns0:si>
    <ns0:t>Leitura e Gravação</ns0:t>
  </ns0:si>
  <ns0:si>
    <ns0:t>Ambiente de Desenvolvimento:</ns0:t>
  </ns0:si>
  <ns0:si>
    <ns0:t>Tipo de Serviço:</ns0:t>
  </ns0:si>
  <ns0:si>
    <ns0:t>Analisar quanto ao ambiente de desenvolvimento. Os valores válidos são:</ns0:t>
  </ns0:si>
  <ns0:si>
    <ns0:t>Tipo de Ambiente</ns0:t>
  </ns0:si>
  <ns0:si>
    <ns0:t>Rotina On-Line C/S</ns0:t>
  </ns0:si>
  <ns0:si>
    <ns0:t>Rotina On-Line Web</ns0:t>
  </ns0:si>
  <ns0:si>
    <ns0:t>Rotina Batch</ns0:t>
  </ns0:si>
  <ns0:si>
    <ns0:t>Rotina On-Line MF</ns0:t>
  </ns0:si>
  <ns0:si>
    <ns0:t>Tamanho:</ns0:t>
  </ns0:si>
  <ns0:si>
    <ns0:t>Qtde de pontos de implementação:</ns0:t>
  </ns0:si>
  <ns0:si>
    <ns0:t>Calculada automaticamente pela planilha</ns0:t>
  </ns0:si>
  <ns0:si>
    <ns0:t>Fatores do Esforço:</ns0:t>
  </ns0:si>
  <ns0:si>
    <ns0:t>Fatores para a Execução do Serviço:</ns0:t>
  </ns0:si>
  <ns0:si>
    <ns0:t>Analisar se é necessário a construção de um programa novo ou efetuada uma alteração de programa</ns0:t>
  </ns0:si>
  <ns0:si>
    <ns0:t>Os valores válidos são:</ns0:t>
  </ns0:si>
  <ns0:si>
    <ns0:t>Fator</ns0:t>
  </ns0:si>
  <ns0:si>
    <ns0:t>Alteração Programa</ns0:t>
  </ns0:si>
  <ns0:si>
    <ns0:t>Programa Novo</ns0:t>
  </ns0:si>
  <ns0:si>
    <ns0:t>Reutilização de Objetos:</ns0:t>
  </ns0:si>
  <ns0:si>
    <ns0:t>A reutilização é menor (fator maior) quando a nova funcionalidade ainda não existe ou quando pouco</ns0:t>
  </ns0:si>
  <ns0:si>
    <ns0:t>pode ser aproveitado. Quanto maior o reaproveitamento do código, menor o fator de reutilização</ns0:t>
  </ns0:si>
  <ns0:si>
    <ns0:t>Até 10% de utilização do código</ns0:t>
  </ns0:si>
  <ns0:si>
    <ns0:t>Baixo</ns0:t>
  </ns0:si>
  <ns0:si>
    <ns0:t>De 11% a 50% de utilização do código</ns0:t>
  </ns0:si>
  <ns0:si>
    <ns0:t>Médio</ns0:t>
  </ns0:si>
  <ns0:si>
    <ns0:t>Acima de 50% de utilização do código</ns0:t>
  </ns0:si>
  <ns0:si>
    <ns0:t>Alto</ns0:t>
  </ns0:si>
  <ns0:si>
    <ns0:t>Complexidade de Manutenção:</ns0:t>
  </ns0:si>
  <ns0:si>
    <ns0:t>Fator que funciona como agravante ou atenuante da complexidade geral da Função de Implementação.</ns0:t>
  </ns0:si>
  <ns0:si>
    <ns0:r>
      <ns0:t>Verifique qual seria a média do grau de dificuldade</ns0:t>
    </ns0:r>
    <ns0:r>
      <ns0:rPr>
        <ns0:sz val="10"/>
        <ns0:rFont val="Arial"/>
        <ns0:family val="2"/>
      </ns0:rPr>
      <ns0:t xml:space="preserve"> (considere as dificuldades informadas) e </ns0:t>
    </ns0:r>
  </ns0:si>
  <ns0:si>
    <ns0:t>selecione o fator da Complexidade de Manutenção que mais se aproxime da média de dificuldade.</ns0:t>
  </ns0:si>
  <ns0:si>
    <ns0:t>Muito Simples</ns0:t>
  </ns0:si>
  <ns0:si>
    <ns0:t>Alta</ns0:t>
  </ns0:si>
  <ns0:si>
    <ns0:t>Muito Complexa</ns0:t>
  </ns0:si>
  <ns0:si>
    <ns0:t>Super Complexa</ns0:t>
  </ns0:si>
  <ns0:si>
    <ns0:t>Esforço:</ns0:t>
  </ns0:si>
  <ns0:si>
    <ns0:t>Construção (Horas):</ns0:t>
  </ns0:si>
  <ns0:si>
    <ns0:t>Quantidade de horas a serem gastas na Construção:</ns0:t>
  </ns0:si>
  <ns0:si>
    <ns0:t>(Projeto Físico -  programação, criação de tabelas, scripts, procedures, etc)</ns0:t>
  </ns0:si>
  <ns0:si>
    <ns0:t>Calculada automaticamente pela ferramenta a partir do Tamanho e dos Fatores de Esforço informado</ns0:t>
  </ns0:si>
  <ns0:si>
    <ns0:t>Especificação Lógica/Física (Horas):</ns0:t>
  </ns0:si>
  <ns0:si>
    <ns0:t>Quantidade de horas a serem gastas na Especificação Lógica e Física da Função de Implementação:</ns0:t>
  </ns0:si>
  <ns0:si>
    <ns0:t>(Projeto Lógico -  especificação de negócio, estimativas, especificação de programa)</ns0:t>
  </ns0:si>
  <ns0:si>
    <ns0:t xml:space="preserve">Calculada automaticamente pela ferramenta a partir do  Esforço de Construção e da </ns0:t>
  </ns0:si>
  <ns0:si>
    <ns0:t>aplicação de % correspondente para este segmento</ns0:t>
  </ns0:si>
  <ns0:si>
    <ns0:t>Especificação Testes (Horas):</ns0:t>
  </ns0:si>
  <ns0:si>
    <ns0:t xml:space="preserve">Quantidade de horas a serem gastas em Testes </ns0:t>
  </ns0:si>
  <ns0:si>
    <ns0:t>Considerar somente testes de funcionalidade pelos recursos do desenvolvimento</ns0:t>
  </ns0:si>
  <ns0:si>
    <ns0:t xml:space="preserve">Calculada automaticamente pela ferramenta a partir do Esforço de Construção e da </ns0:t>
  </ns0:si>
  <ns0:si>
    <ns0:t>Total de Esforço Bruto (Horas):</ns0:t>
  </ns0:si>
  <ns0:si>
    <ns0:t>Quantidade total de horas a serem gastas para implementar a funcionalidade.</ns0:t>
  </ns0:si>
  <ns0:si>
    <ns0:t>Não é considerado o perfil do recurso envolvido para a sua execução</ns0:t>
  </ns0:si>
  <ns0:si>
    <ns0:t>Calculada automaticamente pela ferramenta a partir do somatório do esforço dos 3 segmentos:</ns0:t>
  </ns0:si>
  <ns0:si>
    <ns0:t>(Especificação, Construção e testes)</ns0:t>
  </ns0:si>
  <ns0:si>
    <ns0:t>Aba Recursos</ns0:t>
  </ns0:si>
  <ns0:si>
    <ns0:t>Identificação = Mesmo valor da aba Estimativa, trazido automaticamente</ns0:t>
  </ns0:si>
  <ns0:si>
    <ns0:t>Descrição = Mesmo valor da aba Estimativa, trazido automaticamente</ns0:t>
  </ns0:si>
  <ns0:si>
    <ns0:t>Mesmo valor da coluna Total de Esforço Bruto da aba Estimativa, mas com valor arredondado.</ns0:t>
  </ns0:si>
  <ns0:si>
    <ns0:t xml:space="preserve"> Valor calculado automaticamente.</ns0:t>
  </ns0:si>
  <ns0:si>
    <ns0:t>Recursos - Nível:</ns0:t>
  </ns0:si>
  <ns0:si>
    <ns0:t>Identificar o nível de conhecimento do recurso envolvido para executar a funcionalidade.</ns0:t>
  </ns0:si>
  <ns0:si>
    <ns0:t>Não influencia diretamente no cálculo, é apenas informativo. Valores válidos são:</ns0:t>
  </ns0:si>
  <ns0:si>
    <ns0:t>Conhecimento</ns0:t>
  </ns0:si>
  <ns0:si>
    <ns0:t>Nível</ns0:t>
  </ns0:si>
  <ns0:si>
    <ns0:t>Juntamente com o % de redução, este item deve ser usado somente quando se tem conhecimento</ns0:t>
  </ns0:si>
  <ns0:si>
    <ns0:t>antecipado do recurso que irá implementar a funcionalidade.</ns0:t>
  </ns0:si>
  <ns0:si>
    <ns0:t>Recursos - % de Redução:</ns0:t>
  </ns0:si>
  <ns0:si>
    <ns0:t>Informar o percentual de redução do esforço a ser aplicado sobre o Total de Esforço Bruto.</ns0:t>
  </ns0:si>
  <ns0:si>
    <ns0:t>Refere-se ao tipo de recurso que executará a funcionalidade.</ns0:t>
  </ns0:si>
  <ns0:si>
    <ns0:t>Quanto maior o conhecimento do recurso, maior o percentual de redução.</ns0:t>
  </ns0:si>
  <ns0:si>
    <ns0:t>Este item deve ser utilizado somente quando se tem conhecimento antecipado sobre o recurso que</ns0:t>
  </ns0:si>
  <ns0:si>
    <ns0:t>irá implementar a funcionalidade.</ns0:t>
  </ns0:si>
  <ns0:si>
    <ns0:t>Quantidade total de horas a serem gastas para implementar a funcionalidade, considerando o</ns0:t>
  </ns0:si>
  <ns0:si>
    <ns0:t>perfil do recurso envolvido para a sua execução.</ns0:t>
  </ns0:si>
  <ns0:si>
    <ns0:t xml:space="preserve">Calculada automaticamente pela ferramenta a partir do Total de Esforço com aplicação do </ns0:t>
  </ns0:si>
  <ns0:si>
    <ns0:t>percentual de redução, fazendo arredondamento para cima.</ns0:t>
  </ns0:si>
  <ns0:si>
    <ns0:t>XXXXXXXXXXXXXXXXXXXXXXXXXXXXXXXXX</ns0:t>
  </ns0:si>
  <ns0:si>
    <ns0:t>JOÃO PEDRO</ns0:t>
  </ns0:si>
  <ns0:si>
    <ns0:t xml:space="preserve">Precisamos utilizar o campo "telefone" do cadastro de clientes do cadastro dentro das consultas e dos relatórios de cliente e locação. Pela nossa atual informação, este campo, apesar de constar na tabela, atualmente não é campo de busca em nenhum relatório ou consulta,
</ns0:t>
  </ns0:si>
  <ns0:si>
    <ns0:t>LOCADORA DE VEICULOS</ns0:t>
  </ns0:si>
  <ns0:si>
    <ns0:t>(Analistas e programadores)</ns0:t>
  </ns0:si>
  <ns0:si>
    <ns0:t xml:space="preserve">Desenvolver a tela de cadastro de cliente
</ns0:t>
  </ns0:si>
  <ns0:si>
    <ns0:t>Desenvolver o emprestimo de livro</ns0:t>
  </ns0:si>
  <ns0:si>
    <ns0:t>HOSPITAL UNIVERSITÁRIO VITALIS / UCSAL</ns0:t>
  </ns0:si>
  <ns0:si>
    <ns0:t>SISTEMA DE GESTÃO HOSPITALAR INTELIGENTE VITALIS (VERSÃO 2.0)</ns0:t>
  </ns0:si>
  <ns0:si>
    <ns0:t>DAVI DOS SANTOS RIBEIRO</ns0:t>
  </ns0:si>
  <ns0:si>
    <ns0:t>MFI-01: Cadastro de Pacientes, Validação CNS/CPF e Recepção</ns0:t>
  </ns0:si>
  <ns0:si>
    <ns0:t>MFI-02: Acolhimento e Triagem de Manchester com Voz</ns0:t>
  </ns0:si>
  <ns0:si>
    <ns0:t>MFI-03: Motor Preditivo de Sepse e Deterioração (qSOFA/NEWS2)</ns0:t>
  </ns0:si>
  <ns0:si>
    <ns0:t>MFI-04: Gestão Dinâmica e Alocação Preditiva de Leitos (LOS)</ns0:t>
  </ns0:si>
  <ns0:si>
    <ns0:t>MFI-05: Prontuário Eletrônico (PEP) e Evolução Estruturada</ns0:t>
  </ns0:si>
  <ns0:si>
    <ns0:t>MFI-06: Copiloto Farmacoterapêutico Inteligente (RAG Clínico)</ns0:t>
  </ns0:si>
  <ns0:si>
    <ns0:t>MFI-07: Faturamento Hospitalar, Auditoria e Guias TISS/TUSS</ns0:t>
  </ns0:si>
  <ns0:si>
    <ns0:t>MFI-08: Gateway de Higienização de PII (LGPD) e Trilha WORM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</ns0:si>
</ns0:sst>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2"/>
      <name val="Times New Roman"/>
      <family val="1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3"/>
      <name val="Cambria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Arial"/>
      <family val="2"/>
    </font>
    <font>
      <b/>
      <sz val="18"/>
      <color indexed="62"/>
      <name val="Arial"/>
      <family val="2"/>
    </font>
    <font>
      <i/>
      <sz val="10"/>
      <name val="Arial"/>
      <family val="2"/>
    </font>
    <font>
      <b/>
      <sz val="8"/>
      <color indexed="56"/>
      <name val="Arial"/>
      <family val="2"/>
    </font>
    <font>
      <sz val="8"/>
      <color indexed="63"/>
      <name val="Arial"/>
      <family val="2"/>
    </font>
    <font>
      <b/>
      <sz val="8"/>
      <color indexed="8"/>
      <name val="Tahoma"/>
      <family val="2"/>
    </font>
    <font>
      <b/>
      <sz val="10"/>
      <color indexed="9"/>
      <name val="Arial"/>
      <family val="2"/>
    </font>
    <font>
      <sz val="8"/>
      <color indexed="8"/>
      <name val="Tahoma"/>
      <family val="2"/>
    </font>
    <font>
      <sz val="10"/>
      <color indexed="18"/>
      <name val="Arial"/>
      <family val="2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color indexed="9"/>
      <name val="Arial"/>
      <family val="2"/>
    </font>
    <font>
      <sz val="10"/>
      <color indexed="9"/>
      <name val="Arial"/>
      <family val="2"/>
    </font>
    <font>
      <b/>
      <sz val="18"/>
      <color indexed="18"/>
      <name val="Arial"/>
      <family val="2"/>
    </font>
    <font>
      <b/>
      <i/>
      <sz val="8"/>
      <color indexed="8"/>
      <name val="Tahoma"/>
      <family val="2"/>
    </font>
    <font>
      <b/>
      <sz val="9"/>
      <color indexed="56"/>
      <name val="Arial"/>
      <family val="2"/>
    </font>
    <font>
      <sz val="10"/>
      <color indexed="8"/>
      <name val="Arial"/>
      <family val="2"/>
    </font>
    <font>
      <b/>
      <i/>
      <sz val="12"/>
      <name val="Arial"/>
      <family val="2"/>
    </font>
    <font>
      <i/>
      <sz val="10"/>
      <color indexed="63"/>
      <name val="Arial"/>
      <family val="2"/>
    </font>
    <font>
      <b/>
      <sz val="10"/>
      <color indexed="63"/>
      <name val="Arial"/>
      <family val="2"/>
    </font>
    <font>
      <b/>
      <sz val="8"/>
      <color indexed="63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8"/>
      <color rgb="FFFF0000"/>
      <name val="Arial"/>
      <family val="2"/>
    </font>
    <font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7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2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6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41"/>
      </patternFill>
    </fill>
    <fill>
      <patternFill patternType="solid">
        <fgColor indexed="41"/>
        <bgColor indexed="27"/>
      </patternFill>
    </fill>
    <fill>
      <patternFill patternType="solid">
        <fgColor indexed="54"/>
        <bgColor indexed="23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ck">
        <color indexed="22"/>
      </left>
      <right style="thick">
        <color indexed="9"/>
      </right>
      <top style="thick">
        <color indexed="22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22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22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/>
      <right style="thick">
        <color indexed="9"/>
      </right>
      <top style="thick">
        <color indexed="9"/>
      </top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 style="thick">
        <color indexed="9"/>
      </bottom>
      <diagonal/>
    </border>
    <border>
      <left style="thick">
        <color indexed="4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ck">
        <color indexed="9"/>
      </top>
      <bottom/>
      <diagonal/>
    </border>
    <border>
      <left style="thick">
        <color indexed="4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44"/>
      </bottom>
      <diagonal/>
    </border>
    <border>
      <left style="thick">
        <color indexed="44"/>
      </left>
      <right style="thick">
        <color indexed="44"/>
      </right>
      <top style="thick">
        <color indexed="44"/>
      </top>
      <bottom style="thick">
        <color indexed="9"/>
      </bottom>
      <diagonal/>
    </border>
    <border>
      <left/>
      <right/>
      <top style="thick">
        <color indexed="44"/>
      </top>
      <bottom style="thick">
        <color indexed="9"/>
      </bottom>
      <diagonal/>
    </border>
    <border>
      <left/>
      <right/>
      <top/>
      <bottom style="thin">
        <color indexed="9"/>
      </bottom>
      <diagonal/>
    </border>
    <border>
      <left style="thick">
        <color indexed="44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/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44"/>
      </right>
      <top style="thick">
        <color indexed="9"/>
      </top>
      <bottom style="thick">
        <color indexed="9"/>
      </bottom>
      <diagonal/>
    </border>
    <border>
      <left/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44"/>
      </left>
      <right style="thick">
        <color indexed="44"/>
      </right>
      <top style="thick">
        <color indexed="9"/>
      </top>
      <bottom style="thick">
        <color indexed="9"/>
      </bottom>
      <diagonal/>
    </border>
    <border>
      <left/>
      <right/>
      <top style="thick">
        <color indexed="9"/>
      </top>
      <bottom style="thick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ck">
        <color indexed="44"/>
      </left>
      <right style="thick">
        <color indexed="9"/>
      </right>
      <top style="thick">
        <color indexed="9"/>
      </top>
      <bottom/>
      <diagonal/>
    </border>
    <border>
      <left style="thick">
        <color indexed="9"/>
      </left>
      <right style="thick">
        <color indexed="44"/>
      </right>
      <top style="thick">
        <color indexed="9"/>
      </top>
      <bottom/>
      <diagonal/>
    </border>
    <border>
      <left/>
      <right style="thick">
        <color indexed="44"/>
      </right>
      <top style="thick">
        <color indexed="9"/>
      </top>
      <bottom/>
      <diagonal/>
    </border>
    <border>
      <left style="thick">
        <color indexed="44"/>
      </left>
      <right style="thick">
        <color indexed="44"/>
      </right>
      <top style="thick">
        <color indexed="9"/>
      </top>
      <bottom style="thick">
        <color indexed="44"/>
      </bottom>
      <diagonal/>
    </border>
    <border>
      <left style="thick">
        <color indexed="44"/>
      </left>
      <right style="thick">
        <color indexed="9"/>
      </right>
      <top style="thick">
        <color indexed="9"/>
      </top>
      <bottom style="thick">
        <color indexed="44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44"/>
      </bottom>
      <diagonal/>
    </border>
    <border>
      <left style="thick">
        <color indexed="9"/>
      </left>
      <right style="thick">
        <color indexed="44"/>
      </right>
      <top style="thick">
        <color indexed="9"/>
      </top>
      <bottom style="thick">
        <color indexed="44"/>
      </bottom>
      <diagonal/>
    </border>
    <border>
      <left style="thick">
        <color indexed="44"/>
      </left>
      <right style="thick">
        <color indexed="44"/>
      </right>
      <top style="thin">
        <color indexed="44"/>
      </top>
      <bottom style="thick">
        <color indexed="44"/>
      </bottom>
      <diagonal/>
    </border>
    <border>
      <left/>
      <right/>
      <top style="thick">
        <color indexed="9"/>
      </top>
      <bottom style="thick">
        <color indexed="44"/>
      </bottom>
      <diagonal/>
    </border>
    <border>
      <left/>
      <right style="thick">
        <color indexed="44"/>
      </right>
      <top style="thick">
        <color indexed="9"/>
      </top>
      <bottom style="thick">
        <color indexed="44"/>
      </bottom>
      <diagonal/>
    </border>
    <border>
      <left/>
      <right/>
      <top style="thin">
        <color indexed="9"/>
      </top>
      <bottom style="thick">
        <color indexed="9"/>
      </bottom>
      <diagonal/>
    </border>
    <border>
      <left style="medium">
        <color indexed="44"/>
      </left>
      <right/>
      <top/>
      <bottom/>
      <diagonal/>
    </border>
    <border>
      <left/>
      <right style="medium">
        <color indexed="44"/>
      </right>
      <top/>
      <bottom/>
      <diagonal/>
    </border>
    <border>
      <left style="medium">
        <color indexed="44"/>
      </left>
      <right/>
      <top/>
      <bottom style="medium">
        <color indexed="44"/>
      </bottom>
      <diagonal/>
    </border>
    <border>
      <left/>
      <right style="medium">
        <color indexed="44"/>
      </right>
      <top/>
      <bottom style="medium">
        <color indexed="44"/>
      </bottom>
      <diagonal/>
    </border>
    <border>
      <left style="thick">
        <color indexed="44"/>
      </left>
      <right style="thick">
        <color indexed="44"/>
      </right>
      <top style="thick">
        <color indexed="9"/>
      </top>
      <bottom/>
      <diagonal/>
    </border>
    <border>
      <left/>
      <right style="thick">
        <color indexed="9"/>
      </right>
      <top/>
      <bottom style="thick">
        <color indexed="44"/>
      </bottom>
      <diagonal/>
    </border>
    <border>
      <left style="thick">
        <color indexed="9"/>
      </left>
      <right style="thick">
        <color indexed="44"/>
      </right>
      <top/>
      <bottom style="thick">
        <color indexed="44"/>
      </bottom>
      <diagonal/>
    </border>
    <border>
      <left style="thick">
        <color indexed="9"/>
      </left>
      <right/>
      <top/>
      <bottom style="thick">
        <color indexed="9"/>
      </bottom>
      <diagonal/>
    </border>
    <border>
      <left style="thick">
        <color indexed="44"/>
      </left>
      <right style="thick">
        <color indexed="44"/>
      </right>
      <top style="thick">
        <color indexed="44"/>
      </top>
      <bottom/>
      <diagonal/>
    </border>
    <border>
      <left style="thick">
        <color indexed="44"/>
      </left>
      <right style="thick">
        <color indexed="9"/>
      </right>
      <top style="thick">
        <color indexed="44"/>
      </top>
      <bottom/>
      <diagonal/>
    </border>
    <border>
      <left/>
      <right/>
      <top style="thick">
        <color indexed="44"/>
      </top>
      <bottom/>
      <diagonal/>
    </border>
    <border>
      <left/>
      <right style="thick">
        <color indexed="44"/>
      </right>
      <top style="thick">
        <color indexed="44"/>
      </top>
      <bottom/>
      <diagonal/>
    </border>
    <border>
      <left style="thick">
        <color indexed="44"/>
      </left>
      <right/>
      <top/>
      <bottom/>
      <diagonal/>
    </border>
    <border>
      <left style="thick">
        <color indexed="9"/>
      </left>
      <right/>
      <top/>
      <bottom/>
      <diagonal/>
    </border>
    <border>
      <left/>
      <right style="thick">
        <color indexed="44"/>
      </right>
      <top/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44"/>
      </right>
      <top/>
      <bottom/>
      <diagonal/>
    </border>
    <border>
      <left style="thick">
        <color indexed="44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thick">
        <color indexed="44"/>
      </top>
      <bottom style="thick">
        <color indexed="9"/>
      </bottom>
      <diagonal/>
    </border>
    <border>
      <left style="thick">
        <color indexed="9"/>
      </left>
      <right style="thick">
        <color indexed="44"/>
      </right>
      <top style="thick">
        <color indexed="44"/>
      </top>
      <bottom style="thick">
        <color indexed="9"/>
      </bottom>
      <diagonal/>
    </border>
    <border>
      <left/>
      <right style="thick">
        <color indexed="9"/>
      </right>
      <top/>
      <bottom style="thick">
        <color indexed="9"/>
      </bottom>
      <diagonal/>
    </border>
    <border>
      <left style="thick">
        <color indexed="44"/>
      </left>
      <right style="thick">
        <color indexed="9"/>
      </right>
      <top/>
      <bottom style="thick">
        <color indexed="44"/>
      </bottom>
      <diagonal/>
    </border>
    <border>
      <left/>
      <right/>
      <top/>
      <bottom style="thick">
        <color indexed="44"/>
      </bottom>
      <diagonal/>
    </border>
    <border>
      <left/>
      <right style="thick">
        <color indexed="44"/>
      </right>
      <top/>
      <bottom style="thick">
        <color indexed="44"/>
      </bottom>
      <diagonal/>
    </border>
    <border>
      <left style="thick">
        <color indexed="44"/>
      </left>
      <right/>
      <top/>
      <bottom style="thick">
        <color indexed="44"/>
      </bottom>
      <diagonal/>
    </border>
    <border>
      <left style="thick">
        <color indexed="9"/>
      </left>
      <right/>
      <top/>
      <bottom style="thick">
        <color indexed="44"/>
      </bottom>
      <diagonal/>
    </border>
    <border>
      <left style="medium">
        <color indexed="44"/>
      </left>
      <right style="medium">
        <color indexed="44"/>
      </right>
      <top style="medium">
        <color indexed="44"/>
      </top>
      <bottom/>
      <diagonal/>
    </border>
    <border>
      <left style="thick">
        <color indexed="44"/>
      </left>
      <right style="thick">
        <color indexed="9"/>
      </right>
      <top style="thick">
        <color indexed="44"/>
      </top>
      <bottom style="thick">
        <color indexed="9"/>
      </bottom>
      <diagonal/>
    </border>
    <border>
      <left/>
      <right style="thick">
        <color indexed="9"/>
      </right>
      <top style="thick">
        <color indexed="44"/>
      </top>
      <bottom style="thick">
        <color indexed="9"/>
      </bottom>
      <diagonal/>
    </border>
    <border>
      <left/>
      <right style="thick">
        <color indexed="44"/>
      </right>
      <top style="thick">
        <color indexed="44"/>
      </top>
      <bottom style="thick">
        <color indexed="9"/>
      </bottom>
      <diagonal/>
    </border>
    <border>
      <left style="thick">
        <color indexed="44"/>
      </left>
      <right/>
      <top style="thin">
        <color indexed="44"/>
      </top>
      <bottom style="thick">
        <color indexed="44"/>
      </bottom>
      <diagonal/>
    </border>
    <border>
      <left style="thick">
        <color indexed="9"/>
      </left>
      <right style="thick">
        <color indexed="9"/>
      </right>
      <top style="thick">
        <color indexed="44"/>
      </top>
      <bottom style="medium">
        <color indexed="44"/>
      </bottom>
      <diagonal/>
    </border>
    <border>
      <left style="thick">
        <color indexed="22"/>
      </left>
      <right/>
      <top style="thick">
        <color indexed="9"/>
      </top>
      <bottom style="thick">
        <color indexed="9"/>
      </bottom>
      <diagonal/>
    </border>
    <border>
      <left style="thick">
        <color indexed="22"/>
      </left>
      <right/>
      <top style="thin">
        <color indexed="9"/>
      </top>
      <bottom/>
      <diagonal/>
    </border>
    <border>
      <left style="thick">
        <color indexed="44"/>
      </left>
      <right/>
      <top style="thick">
        <color indexed="44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22"/>
      </top>
      <bottom/>
      <diagonal/>
    </border>
    <border>
      <left style="thick">
        <color indexed="9"/>
      </left>
      <right/>
      <top style="thick">
        <color indexed="22"/>
      </top>
      <bottom style="thick">
        <color indexed="9"/>
      </bottom>
      <diagonal/>
    </border>
    <border>
      <left style="thick">
        <color indexed="9"/>
      </left>
      <right/>
      <top style="thick">
        <color indexed="9"/>
      </top>
      <bottom/>
      <diagonal/>
    </border>
    <border>
      <left style="thick">
        <color indexed="9"/>
      </left>
      <right style="thick">
        <color indexed="44"/>
      </right>
      <top/>
      <bottom style="thick">
        <color indexed="9"/>
      </bottom>
      <diagonal/>
    </border>
    <border>
      <left style="thick">
        <color indexed="9"/>
      </left>
      <right style="thick">
        <color indexed="44"/>
      </right>
      <top/>
      <bottom style="thin">
        <color indexed="22"/>
      </bottom>
      <diagonal/>
    </border>
    <border>
      <left/>
      <right style="thick">
        <color indexed="44"/>
      </right>
      <top/>
      <bottom style="thick">
        <color indexed="9"/>
      </bottom>
      <diagonal/>
    </border>
    <border>
      <left style="thick">
        <color indexed="9"/>
      </left>
      <right style="thick">
        <color indexed="9"/>
      </right>
      <top/>
      <bottom style="thick">
        <color indexed="44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7" fillId="7" borderId="1" applyNumberFormat="0" applyAlignment="0" applyProtection="0"/>
    <xf numFmtId="0" fontId="8" fillId="0" borderId="0"/>
    <xf numFmtId="0" fontId="1" fillId="0" borderId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43" fillId="0" borderId="0"/>
    <xf numFmtId="0" fontId="43" fillId="0" borderId="0"/>
    <xf numFmtId="0" fontId="43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188">
    <xf numFmtId="0" fontId="0" fillId="0" borderId="0" xfId="0"/>
    <xf numFmtId="0" fontId="43" fillId="0" borderId="0" xfId="34"/>
    <xf numFmtId="0" fontId="43" fillId="0" borderId="10" xfId="35" applyBorder="1"/>
    <xf numFmtId="0" fontId="43" fillId="0" borderId="11" xfId="35" applyBorder="1"/>
    <xf numFmtId="0" fontId="43" fillId="0" borderId="12" xfId="35" applyBorder="1"/>
    <xf numFmtId="0" fontId="43" fillId="0" borderId="13" xfId="35" applyBorder="1"/>
    <xf numFmtId="0" fontId="43" fillId="0" borderId="14" xfId="35" applyBorder="1"/>
    <xf numFmtId="0" fontId="43" fillId="0" borderId="15" xfId="35" applyBorder="1"/>
    <xf numFmtId="0" fontId="43" fillId="0" borderId="16" xfId="35" applyBorder="1"/>
    <xf numFmtId="0" fontId="43" fillId="0" borderId="17" xfId="35" applyBorder="1"/>
    <xf numFmtId="49" fontId="22" fillId="8" borderId="18" xfId="34" applyNumberFormat="1" applyFont="1" applyFill="1" applyBorder="1" applyAlignment="1"/>
    <xf numFmtId="0" fontId="23" fillId="0" borderId="19" xfId="31" applyFont="1" applyFill="1" applyBorder="1" applyAlignment="1">
      <alignment vertical="center"/>
    </xf>
    <xf numFmtId="0" fontId="23" fillId="0" borderId="12" xfId="31" applyFont="1" applyFill="1" applyBorder="1" applyAlignment="1">
      <alignment vertical="center"/>
    </xf>
    <xf numFmtId="0" fontId="23" fillId="0" borderId="20" xfId="31" applyFont="1" applyFill="1" applyBorder="1" applyAlignment="1">
      <alignment vertical="center"/>
    </xf>
    <xf numFmtId="0" fontId="43" fillId="24" borderId="0" xfId="34" applyFill="1" applyBorder="1"/>
    <xf numFmtId="0" fontId="43" fillId="0" borderId="0" xfId="34" applyFill="1"/>
    <xf numFmtId="0" fontId="43" fillId="24" borderId="0" xfId="34" applyFill="1"/>
    <xf numFmtId="49" fontId="22" fillId="8" borderId="21" xfId="34" applyNumberFormat="1" applyFont="1" applyFill="1" applyBorder="1" applyAlignment="1">
      <alignment horizontal="left"/>
    </xf>
    <xf numFmtId="0" fontId="23" fillId="0" borderId="22" xfId="31" applyFont="1" applyFill="1" applyBorder="1" applyAlignment="1">
      <alignment vertical="center"/>
    </xf>
    <xf numFmtId="0" fontId="23" fillId="0" borderId="23" xfId="31" applyFont="1" applyFill="1" applyBorder="1" applyAlignment="1">
      <alignment vertical="center"/>
    </xf>
    <xf numFmtId="0" fontId="23" fillId="0" borderId="24" xfId="31" applyFont="1" applyFill="1" applyBorder="1" applyAlignment="1">
      <alignment vertical="center"/>
    </xf>
    <xf numFmtId="0" fontId="23" fillId="0" borderId="25" xfId="31" applyFont="1" applyFill="1" applyBorder="1" applyAlignment="1">
      <alignment horizontal="center" vertical="center"/>
    </xf>
    <xf numFmtId="0" fontId="23" fillId="0" borderId="23" xfId="31" applyFont="1" applyFill="1" applyBorder="1" applyAlignment="1">
      <alignment horizontal="center" vertical="center"/>
    </xf>
    <xf numFmtId="0" fontId="23" fillId="0" borderId="26" xfId="31" applyFont="1" applyFill="1" applyBorder="1" applyAlignment="1">
      <alignment horizontal="center" vertical="center"/>
    </xf>
    <xf numFmtId="0" fontId="23" fillId="0" borderId="17" xfId="31" applyFont="1" applyFill="1" applyBorder="1" applyAlignment="1">
      <alignment vertical="center"/>
    </xf>
    <xf numFmtId="0" fontId="43" fillId="0" borderId="12" xfId="34" applyFill="1" applyBorder="1"/>
    <xf numFmtId="0" fontId="24" fillId="6" borderId="27" xfId="31" applyFont="1" applyFill="1" applyBorder="1" applyAlignment="1">
      <alignment horizontal="center" vertical="center" wrapText="1"/>
    </xf>
    <xf numFmtId="0" fontId="24" fillId="6" borderId="28" xfId="31" applyFont="1" applyFill="1" applyBorder="1" applyAlignment="1">
      <alignment horizontal="center" vertical="center" wrapText="1"/>
    </xf>
    <xf numFmtId="0" fontId="23" fillId="0" borderId="29" xfId="31" applyFont="1" applyFill="1" applyBorder="1" applyAlignment="1">
      <alignment horizontal="center" vertical="center"/>
    </xf>
    <xf numFmtId="0" fontId="28" fillId="0" borderId="0" xfId="34" applyFont="1" applyFill="1"/>
    <xf numFmtId="0" fontId="23" fillId="2" borderId="30" xfId="31" applyFont="1" applyFill="1" applyBorder="1" applyAlignment="1">
      <alignment horizontal="center" vertical="center" wrapText="1"/>
    </xf>
    <xf numFmtId="0" fontId="23" fillId="2" borderId="31" xfId="31" applyFont="1" applyFill="1" applyBorder="1" applyAlignment="1">
      <alignment horizontal="center" vertical="center" wrapText="1"/>
    </xf>
    <xf numFmtId="0" fontId="24" fillId="6" borderId="30" xfId="31" applyFont="1" applyFill="1" applyBorder="1" applyAlignment="1">
      <alignment horizontal="center" vertical="center" wrapText="1"/>
    </xf>
    <xf numFmtId="0" fontId="24" fillId="6" borderId="14" xfId="31" applyFont="1" applyFill="1" applyBorder="1" applyAlignment="1">
      <alignment horizontal="center" vertical="center" wrapText="1"/>
    </xf>
    <xf numFmtId="0" fontId="24" fillId="6" borderId="32" xfId="31" applyFont="1" applyFill="1" applyBorder="1" applyAlignment="1">
      <alignment horizontal="center" vertical="center" wrapText="1"/>
    </xf>
    <xf numFmtId="0" fontId="24" fillId="6" borderId="33" xfId="31" applyFont="1" applyFill="1" applyBorder="1" applyAlignment="1">
      <alignment horizontal="center" vertical="center" wrapText="1"/>
    </xf>
    <xf numFmtId="0" fontId="24" fillId="6" borderId="31" xfId="31" applyFont="1" applyFill="1" applyBorder="1" applyAlignment="1">
      <alignment horizontal="center" vertical="center" wrapText="1"/>
    </xf>
    <xf numFmtId="0" fontId="24" fillId="6" borderId="34" xfId="31" applyFont="1" applyFill="1" applyBorder="1" applyAlignment="1">
      <alignment horizontal="center" vertical="center" wrapText="1"/>
    </xf>
    <xf numFmtId="0" fontId="24" fillId="6" borderId="35" xfId="31" applyFont="1" applyFill="1" applyBorder="1" applyAlignment="1">
      <alignment horizontal="center" vertical="center" wrapText="1"/>
    </xf>
    <xf numFmtId="0" fontId="23" fillId="0" borderId="36" xfId="31" applyFont="1" applyFill="1" applyBorder="1" applyAlignment="1">
      <alignment horizontal="center" vertical="center"/>
    </xf>
    <xf numFmtId="0" fontId="24" fillId="0" borderId="30" xfId="31" applyFont="1" applyFill="1" applyBorder="1" applyAlignment="1">
      <alignment vertical="center"/>
    </xf>
    <xf numFmtId="0" fontId="24" fillId="0" borderId="31" xfId="31" applyFont="1" applyFill="1" applyBorder="1" applyAlignment="1">
      <alignment vertical="center" wrapText="1"/>
    </xf>
    <xf numFmtId="0" fontId="24" fillId="0" borderId="34" xfId="31" applyFont="1" applyFill="1" applyBorder="1" applyAlignment="1">
      <alignment vertical="center"/>
    </xf>
    <xf numFmtId="0" fontId="24" fillId="0" borderId="14" xfId="31" applyFont="1" applyFill="1" applyBorder="1" applyAlignment="1">
      <alignment vertical="center"/>
    </xf>
    <xf numFmtId="0" fontId="24" fillId="0" borderId="32" xfId="31" applyFont="1" applyFill="1" applyBorder="1" applyAlignment="1">
      <alignment vertical="center"/>
    </xf>
    <xf numFmtId="0" fontId="24" fillId="0" borderId="33" xfId="31" applyFont="1" applyFill="1" applyBorder="1" applyAlignment="1">
      <alignment vertical="center"/>
    </xf>
    <xf numFmtId="0" fontId="24" fillId="0" borderId="31" xfId="31" applyFont="1" applyFill="1" applyBorder="1" applyAlignment="1">
      <alignment vertical="center"/>
    </xf>
    <xf numFmtId="2" fontId="23" fillId="2" borderId="21" xfId="31" applyNumberFormat="1" applyFont="1" applyFill="1" applyBorder="1" applyAlignment="1">
      <alignment horizontal="right" vertical="center" wrapText="1"/>
    </xf>
    <xf numFmtId="0" fontId="23" fillId="2" borderId="37" xfId="31" applyFont="1" applyFill="1" applyBorder="1" applyAlignment="1">
      <alignment vertical="center" wrapText="1"/>
    </xf>
    <xf numFmtId="2" fontId="23" fillId="2" borderId="16" xfId="31" applyNumberFormat="1" applyFont="1" applyFill="1" applyBorder="1" applyAlignment="1">
      <alignment vertical="center" wrapText="1"/>
    </xf>
    <xf numFmtId="2" fontId="23" fillId="2" borderId="38" xfId="31" applyNumberFormat="1" applyFont="1" applyFill="1" applyBorder="1" applyAlignment="1">
      <alignment vertical="center" wrapText="1"/>
    </xf>
    <xf numFmtId="2" fontId="23" fillId="2" borderId="39" xfId="31" applyNumberFormat="1" applyFont="1" applyFill="1" applyBorder="1" applyAlignment="1">
      <alignment vertical="center" wrapText="1"/>
    </xf>
    <xf numFmtId="0" fontId="24" fillId="6" borderId="30" xfId="31" applyFont="1" applyFill="1" applyBorder="1" applyAlignment="1">
      <alignment vertical="center"/>
    </xf>
    <xf numFmtId="0" fontId="24" fillId="6" borderId="31" xfId="31" applyFont="1" applyFill="1" applyBorder="1" applyAlignment="1">
      <alignment vertical="center"/>
    </xf>
    <xf numFmtId="0" fontId="24" fillId="6" borderId="34" xfId="31" applyFont="1" applyFill="1" applyBorder="1" applyAlignment="1">
      <alignment vertical="center"/>
    </xf>
    <xf numFmtId="0" fontId="24" fillId="6" borderId="14" xfId="31" applyFont="1" applyFill="1" applyBorder="1" applyAlignment="1">
      <alignment vertical="center"/>
    </xf>
    <xf numFmtId="0" fontId="24" fillId="6" borderId="32" xfId="31" applyFont="1" applyFill="1" applyBorder="1" applyAlignment="1">
      <alignment vertical="center"/>
    </xf>
    <xf numFmtId="0" fontId="24" fillId="6" borderId="33" xfId="31" applyFont="1" applyFill="1" applyBorder="1" applyAlignment="1">
      <alignment vertical="center"/>
    </xf>
    <xf numFmtId="1" fontId="29" fillId="25" borderId="40" xfId="34" applyNumberFormat="1" applyFont="1" applyFill="1" applyBorder="1" applyAlignment="1"/>
    <xf numFmtId="1" fontId="29" fillId="25" borderId="41" xfId="34" applyNumberFormat="1" applyFont="1" applyFill="1" applyBorder="1" applyAlignment="1"/>
    <xf numFmtId="1" fontId="29" fillId="25" borderId="42" xfId="34" applyNumberFormat="1" applyFont="1" applyFill="1" applyBorder="1" applyAlignment="1"/>
    <xf numFmtId="1" fontId="29" fillId="25" borderId="43" xfId="34" applyNumberFormat="1" applyFont="1" applyFill="1" applyBorder="1" applyAlignment="1"/>
    <xf numFmtId="1" fontId="29" fillId="25" borderId="44" xfId="34" applyNumberFormat="1" applyFont="1" applyFill="1" applyBorder="1" applyAlignment="1"/>
    <xf numFmtId="2" fontId="23" fillId="2" borderId="45" xfId="31" applyNumberFormat="1" applyFont="1" applyFill="1" applyBorder="1" applyAlignment="1">
      <alignment vertical="center" wrapText="1"/>
    </xf>
    <xf numFmtId="1" fontId="30" fillId="25" borderId="41" xfId="34" applyNumberFormat="1" applyFont="1" applyFill="1" applyBorder="1" applyAlignment="1"/>
    <xf numFmtId="1" fontId="30" fillId="25" borderId="42" xfId="34" applyNumberFormat="1" applyFont="1" applyFill="1" applyBorder="1" applyAlignment="1"/>
    <xf numFmtId="164" fontId="30" fillId="25" borderId="43" xfId="34" applyNumberFormat="1" applyFont="1" applyFill="1" applyBorder="1" applyAlignment="1"/>
    <xf numFmtId="2" fontId="23" fillId="2" borderId="41" xfId="31" applyNumberFormat="1" applyFont="1" applyFill="1" applyBorder="1" applyAlignment="1">
      <alignment vertical="center" wrapText="1"/>
    </xf>
    <xf numFmtId="2" fontId="23" fillId="2" borderId="42" xfId="31" applyNumberFormat="1" applyFont="1" applyFill="1" applyBorder="1" applyAlignment="1">
      <alignment vertical="center" wrapText="1"/>
    </xf>
    <xf numFmtId="2" fontId="23" fillId="2" borderId="43" xfId="31" applyNumberFormat="1" applyFont="1" applyFill="1" applyBorder="1" applyAlignment="1">
      <alignment vertical="center" wrapText="1"/>
    </xf>
    <xf numFmtId="2" fontId="26" fillId="26" borderId="46" xfId="31" applyNumberFormat="1" applyFont="1" applyFill="1" applyBorder="1" applyAlignment="1">
      <alignment vertical="center" wrapText="1"/>
    </xf>
    <xf numFmtId="0" fontId="23" fillId="0" borderId="47" xfId="31" applyFont="1" applyFill="1" applyBorder="1" applyAlignment="1">
      <alignment horizontal="center" vertical="center"/>
    </xf>
    <xf numFmtId="0" fontId="23" fillId="0" borderId="0" xfId="31" applyFont="1" applyFill="1" applyBorder="1" applyAlignment="1">
      <alignment horizontal="center" vertical="center"/>
    </xf>
    <xf numFmtId="0" fontId="24" fillId="0" borderId="48" xfId="31" applyFont="1" applyFill="1" applyBorder="1" applyAlignment="1">
      <alignment vertical="center"/>
    </xf>
    <xf numFmtId="2" fontId="24" fillId="0" borderId="49" xfId="31" applyNumberFormat="1" applyFont="1" applyFill="1" applyBorder="1" applyAlignment="1">
      <alignment horizontal="center" vertical="center"/>
    </xf>
    <xf numFmtId="0" fontId="24" fillId="6" borderId="48" xfId="31" applyFont="1" applyFill="1" applyBorder="1" applyAlignment="1">
      <alignment vertical="center"/>
    </xf>
    <xf numFmtId="2" fontId="24" fillId="6" borderId="49" xfId="31" applyNumberFormat="1" applyFont="1" applyFill="1" applyBorder="1" applyAlignment="1">
      <alignment horizontal="center" vertical="center"/>
    </xf>
    <xf numFmtId="2" fontId="31" fillId="26" borderId="50" xfId="31" applyNumberFormat="1" applyFont="1" applyFill="1" applyBorder="1" applyAlignment="1">
      <alignment vertical="center" wrapText="1"/>
    </xf>
    <xf numFmtId="2" fontId="26" fillId="26" borderId="51" xfId="31" applyNumberFormat="1" applyFont="1" applyFill="1" applyBorder="1" applyAlignment="1">
      <alignment horizontal="center" vertical="center" wrapText="1"/>
    </xf>
    <xf numFmtId="0" fontId="23" fillId="0" borderId="17" xfId="31" applyFont="1" applyFill="1" applyBorder="1" applyAlignment="1">
      <alignment horizontal="center" vertical="center"/>
    </xf>
    <xf numFmtId="0" fontId="43" fillId="24" borderId="17" xfId="34" applyFill="1" applyBorder="1"/>
    <xf numFmtId="0" fontId="43" fillId="0" borderId="17" xfId="34" applyBorder="1"/>
    <xf numFmtId="0" fontId="32" fillId="24" borderId="23" xfId="34" applyNumberFormat="1" applyFont="1" applyFill="1" applyBorder="1" applyAlignment="1"/>
    <xf numFmtId="0" fontId="32" fillId="24" borderId="23" xfId="34" applyFont="1" applyFill="1" applyBorder="1"/>
    <xf numFmtId="0" fontId="32" fillId="0" borderId="23" xfId="34" applyFont="1" applyBorder="1"/>
    <xf numFmtId="0" fontId="32" fillId="0" borderId="23" xfId="34" applyNumberFormat="1" applyFont="1" applyBorder="1" applyAlignment="1"/>
    <xf numFmtId="0" fontId="43" fillId="0" borderId="23" xfId="34" applyBorder="1"/>
    <xf numFmtId="0" fontId="43" fillId="0" borderId="25" xfId="34" applyBorder="1"/>
    <xf numFmtId="0" fontId="43" fillId="0" borderId="12" xfId="35" applyFill="1" applyBorder="1"/>
    <xf numFmtId="0" fontId="32" fillId="0" borderId="12" xfId="34" applyNumberFormat="1" applyFont="1" applyFill="1" applyBorder="1" applyAlignment="1"/>
    <xf numFmtId="2" fontId="23" fillId="2" borderId="52" xfId="31" applyNumberFormat="1" applyFont="1" applyFill="1" applyBorder="1" applyAlignment="1">
      <alignment horizontal="right" vertical="center" wrapText="1"/>
    </xf>
    <xf numFmtId="0" fontId="24" fillId="6" borderId="37" xfId="31" applyFont="1" applyFill="1" applyBorder="1" applyAlignment="1">
      <alignment vertical="center"/>
    </xf>
    <xf numFmtId="0" fontId="24" fillId="6" borderId="38" xfId="31" applyFont="1" applyFill="1" applyBorder="1" applyAlignment="1">
      <alignment vertical="center"/>
    </xf>
    <xf numFmtId="2" fontId="35" fillId="2" borderId="40" xfId="31" applyNumberFormat="1" applyFont="1" applyFill="1" applyBorder="1" applyAlignment="1">
      <alignment vertical="center" wrapText="1"/>
    </xf>
    <xf numFmtId="1" fontId="29" fillId="25" borderId="53" xfId="34" applyNumberFormat="1" applyFont="1" applyFill="1" applyBorder="1" applyAlignment="1"/>
    <xf numFmtId="1" fontId="29" fillId="25" borderId="54" xfId="34" applyNumberFormat="1" applyFont="1" applyFill="1" applyBorder="1" applyAlignment="1"/>
    <xf numFmtId="0" fontId="36" fillId="0" borderId="12" xfId="34" applyFont="1" applyFill="1" applyBorder="1" applyAlignment="1"/>
    <xf numFmtId="0" fontId="28" fillId="0" borderId="12" xfId="34" applyFont="1" applyFill="1" applyBorder="1"/>
    <xf numFmtId="164" fontId="43" fillId="0" borderId="12" xfId="34" applyNumberFormat="1" applyFill="1" applyBorder="1"/>
    <xf numFmtId="2" fontId="26" fillId="26" borderId="50" xfId="31" applyNumberFormat="1" applyFont="1" applyFill="1" applyBorder="1" applyAlignment="1">
      <alignment vertical="center" wrapText="1"/>
    </xf>
    <xf numFmtId="0" fontId="32" fillId="0" borderId="12" xfId="34" applyFont="1" applyFill="1" applyBorder="1"/>
    <xf numFmtId="0" fontId="37" fillId="24" borderId="0" xfId="34" applyFont="1" applyFill="1"/>
    <xf numFmtId="0" fontId="38" fillId="0" borderId="55" xfId="31" applyFont="1" applyFill="1" applyBorder="1" applyAlignment="1">
      <alignment horizontal="left" vertical="center"/>
    </xf>
    <xf numFmtId="0" fontId="38" fillId="0" borderId="31" xfId="31" applyFont="1" applyFill="1" applyBorder="1" applyAlignment="1">
      <alignment horizontal="left" vertical="center"/>
    </xf>
    <xf numFmtId="0" fontId="38" fillId="0" borderId="0" xfId="31" applyFont="1" applyFill="1" applyBorder="1" applyAlignment="1">
      <alignment horizontal="left" vertical="center"/>
    </xf>
    <xf numFmtId="0" fontId="29" fillId="2" borderId="56" xfId="31" applyFont="1" applyFill="1" applyBorder="1" applyAlignment="1">
      <alignment horizontal="center" vertical="center" wrapText="1"/>
    </xf>
    <xf numFmtId="0" fontId="39" fillId="6" borderId="57" xfId="31" applyFont="1" applyFill="1" applyBorder="1" applyAlignment="1">
      <alignment vertical="center"/>
    </xf>
    <xf numFmtId="0" fontId="43" fillId="24" borderId="58" xfId="34" applyFill="1" applyBorder="1"/>
    <xf numFmtId="0" fontId="43" fillId="24" borderId="59" xfId="34" applyFill="1" applyBorder="1"/>
    <xf numFmtId="0" fontId="39" fillId="6" borderId="60" xfId="31" applyFont="1" applyFill="1" applyBorder="1" applyAlignment="1">
      <alignment horizontal="right" vertical="center"/>
    </xf>
    <xf numFmtId="0" fontId="43" fillId="24" borderId="61" xfId="34" applyFill="1" applyBorder="1"/>
    <xf numFmtId="0" fontId="43" fillId="24" borderId="62" xfId="34" applyFill="1" applyBorder="1"/>
    <xf numFmtId="0" fontId="43" fillId="24" borderId="63" xfId="34" applyFill="1" applyBorder="1"/>
    <xf numFmtId="0" fontId="43" fillId="24" borderId="64" xfId="34" applyFill="1" applyBorder="1"/>
    <xf numFmtId="0" fontId="39" fillId="6" borderId="65" xfId="31" applyFont="1" applyFill="1" applyBorder="1" applyAlignment="1">
      <alignment horizontal="right" vertical="center"/>
    </xf>
    <xf numFmtId="0" fontId="40" fillId="6" borderId="66" xfId="31" applyFont="1" applyFill="1" applyBorder="1" applyAlignment="1">
      <alignment horizontal="center" vertical="center" wrapText="1"/>
    </xf>
    <xf numFmtId="0" fontId="40" fillId="6" borderId="67" xfId="31" applyFont="1" applyFill="1" applyBorder="1" applyAlignment="1">
      <alignment horizontal="center" vertical="center" wrapText="1"/>
    </xf>
    <xf numFmtId="0" fontId="24" fillId="0" borderId="32" xfId="31" applyFont="1" applyFill="1" applyBorder="1" applyAlignment="1">
      <alignment horizontal="center" vertical="center"/>
    </xf>
    <xf numFmtId="0" fontId="24" fillId="6" borderId="32" xfId="31" applyFont="1" applyFill="1" applyBorder="1" applyAlignment="1">
      <alignment horizontal="center" vertical="center"/>
    </xf>
    <xf numFmtId="0" fontId="24" fillId="0" borderId="43" xfId="31" applyFont="1" applyFill="1" applyBorder="1" applyAlignment="1">
      <alignment horizontal="center" vertical="center"/>
    </xf>
    <xf numFmtId="0" fontId="24" fillId="6" borderId="54" xfId="31" applyFont="1" applyFill="1" applyBorder="1" applyAlignment="1">
      <alignment horizontal="center" vertical="center"/>
    </xf>
    <xf numFmtId="0" fontId="24" fillId="0" borderId="14" xfId="31" applyFont="1" applyFill="1" applyBorder="1" applyAlignment="1">
      <alignment horizontal="center" vertical="center"/>
    </xf>
    <xf numFmtId="0" fontId="24" fillId="6" borderId="14" xfId="31" applyFont="1" applyFill="1" applyBorder="1" applyAlignment="1">
      <alignment horizontal="center" vertical="center"/>
    </xf>
    <xf numFmtId="0" fontId="24" fillId="6" borderId="42" xfId="31" applyFont="1" applyFill="1" applyBorder="1" applyAlignment="1">
      <alignment horizontal="center" vertical="center"/>
    </xf>
    <xf numFmtId="0" fontId="24" fillId="6" borderId="43" xfId="31" applyFont="1" applyFill="1" applyBorder="1" applyAlignment="1">
      <alignment horizontal="center" vertical="center"/>
    </xf>
    <xf numFmtId="0" fontId="24" fillId="0" borderId="68" xfId="31" applyFont="1" applyFill="1" applyBorder="1" applyAlignment="1">
      <alignment horizontal="left" vertical="center"/>
    </xf>
    <xf numFmtId="0" fontId="0" fillId="24" borderId="0" xfId="34" applyFont="1" applyFill="1" applyBorder="1"/>
    <xf numFmtId="0" fontId="0" fillId="24" borderId="0" xfId="34" applyFont="1" applyFill="1" applyBorder="1" applyAlignment="1">
      <alignment horizontal="center"/>
    </xf>
    <xf numFmtId="0" fontId="42" fillId="24" borderId="0" xfId="34" applyFont="1" applyFill="1" applyBorder="1"/>
    <xf numFmtId="0" fontId="43" fillId="24" borderId="0" xfId="34" applyFill="1" applyBorder="1" applyAlignment="1">
      <alignment horizontal="center"/>
    </xf>
    <xf numFmtId="0" fontId="39" fillId="6" borderId="69" xfId="31" applyFont="1" applyFill="1" applyBorder="1" applyAlignment="1">
      <alignment horizontal="right" vertical="center"/>
    </xf>
    <xf numFmtId="0" fontId="43" fillId="24" borderId="70" xfId="34" applyFill="1" applyBorder="1"/>
    <xf numFmtId="0" fontId="43" fillId="24" borderId="71" xfId="34" applyFill="1" applyBorder="1"/>
    <xf numFmtId="0" fontId="40" fillId="0" borderId="16" xfId="31" applyFont="1" applyFill="1" applyBorder="1" applyAlignment="1">
      <alignment horizontal="left" vertical="center"/>
    </xf>
    <xf numFmtId="0" fontId="24" fillId="0" borderId="16" xfId="31" applyFont="1" applyFill="1" applyBorder="1" applyAlignment="1">
      <alignment horizontal="left" vertical="center"/>
    </xf>
    <xf numFmtId="0" fontId="39" fillId="6" borderId="72" xfId="31" applyFont="1" applyFill="1" applyBorder="1" applyAlignment="1">
      <alignment horizontal="right" vertical="center"/>
    </xf>
    <xf numFmtId="0" fontId="24" fillId="0" borderId="73" xfId="31" applyFont="1" applyFill="1" applyBorder="1" applyAlignment="1">
      <alignment horizontal="left" vertical="center"/>
    </xf>
    <xf numFmtId="0" fontId="45" fillId="0" borderId="12" xfId="35" applyFont="1" applyFill="1" applyBorder="1"/>
    <xf numFmtId="0" fontId="45" fillId="0" borderId="12" xfId="34" applyFont="1" applyFill="1" applyBorder="1"/>
    <xf numFmtId="0" fontId="45" fillId="0" borderId="12" xfId="34" applyNumberFormat="1" applyFont="1" applyFill="1" applyBorder="1" applyAlignment="1"/>
    <xf numFmtId="0" fontId="45" fillId="27" borderId="12" xfId="34" applyFont="1" applyFill="1" applyBorder="1"/>
    <xf numFmtId="0" fontId="45" fillId="27" borderId="12" xfId="34" applyNumberFormat="1" applyFont="1" applyFill="1" applyBorder="1" applyAlignment="1"/>
    <xf numFmtId="0" fontId="23" fillId="8" borderId="80" xfId="31" applyFont="1" applyFill="1" applyBorder="1" applyAlignment="1">
      <alignment horizontal="center" vertical="center"/>
    </xf>
    <xf numFmtId="0" fontId="0" fillId="0" borderId="35" xfId="34" applyFont="1" applyBorder="1" applyAlignment="1">
      <alignment horizontal="left"/>
    </xf>
    <xf numFmtId="0" fontId="20" fillId="0" borderId="83" xfId="35" applyFont="1" applyBorder="1" applyAlignment="1">
      <alignment horizontal="center" vertical="center"/>
    </xf>
    <xf numFmtId="0" fontId="21" fillId="0" borderId="84" xfId="35" applyFont="1" applyBorder="1" applyAlignment="1">
      <alignment horizontal="center"/>
    </xf>
    <xf numFmtId="0" fontId="21" fillId="0" borderId="85" xfId="35" applyFont="1" applyBorder="1" applyAlignment="1">
      <alignment horizontal="center"/>
    </xf>
    <xf numFmtId="0" fontId="0" fillId="0" borderId="21" xfId="34" applyFont="1" applyBorder="1" applyAlignment="1">
      <alignment horizontal="left"/>
    </xf>
    <xf numFmtId="14" fontId="43" fillId="0" borderId="35" xfId="34" applyNumberFormat="1" applyBorder="1" applyAlignment="1">
      <alignment horizontal="left"/>
    </xf>
    <xf numFmtId="0" fontId="23" fillId="0" borderId="81" xfId="31" applyFont="1" applyFill="1" applyBorder="1" applyAlignment="1">
      <alignment horizontal="center" vertical="center"/>
    </xf>
    <xf numFmtId="0" fontId="23" fillId="2" borderId="82" xfId="31" applyFont="1" applyFill="1" applyBorder="1" applyAlignment="1">
      <alignment horizontal="center" vertical="center" wrapText="1"/>
    </xf>
    <xf numFmtId="0" fontId="24" fillId="6" borderId="27" xfId="31" applyFont="1" applyFill="1" applyBorder="1" applyAlignment="1">
      <alignment horizontal="center" vertical="center" wrapText="1"/>
    </xf>
    <xf numFmtId="0" fontId="24" fillId="6" borderId="28" xfId="31" applyFont="1" applyFill="1" applyBorder="1" applyAlignment="1">
      <alignment horizontal="center" vertical="center" wrapText="1"/>
    </xf>
    <xf numFmtId="0" fontId="23" fillId="2" borderId="74" xfId="31" applyFont="1" applyFill="1" applyBorder="1" applyAlignment="1">
      <alignment horizontal="center" vertical="center" wrapText="1"/>
    </xf>
    <xf numFmtId="0" fontId="23" fillId="0" borderId="0" xfId="31" applyFont="1" applyFill="1" applyBorder="1" applyAlignment="1">
      <alignment horizontal="center" vertical="center"/>
    </xf>
    <xf numFmtId="0" fontId="32" fillId="0" borderId="23" xfId="34" applyNumberFormat="1" applyFont="1" applyBorder="1" applyAlignment="1">
      <alignment horizontal="center"/>
    </xf>
    <xf numFmtId="0" fontId="23" fillId="2" borderId="75" xfId="31" applyFont="1" applyFill="1" applyBorder="1" applyAlignment="1">
      <alignment horizontal="center" vertical="center" wrapText="1"/>
    </xf>
    <xf numFmtId="0" fontId="23" fillId="2" borderId="76" xfId="31" applyFont="1" applyFill="1" applyBorder="1" applyAlignment="1">
      <alignment horizontal="center" vertical="center" wrapText="1"/>
    </xf>
    <xf numFmtId="0" fontId="23" fillId="2" borderId="67" xfId="31" applyFont="1" applyFill="1" applyBorder="1" applyAlignment="1">
      <alignment horizontal="center" vertical="center" wrapText="1"/>
    </xf>
    <xf numFmtId="0" fontId="26" fillId="26" borderId="77" xfId="31" applyFont="1" applyFill="1" applyBorder="1" applyAlignment="1">
      <alignment horizontal="center" vertical="center" wrapText="1"/>
    </xf>
    <xf numFmtId="1" fontId="29" fillId="25" borderId="78" xfId="34" applyNumberFormat="1" applyFont="1" applyFill="1" applyBorder="1" applyAlignment="1">
      <alignment horizontal="center"/>
    </xf>
    <xf numFmtId="0" fontId="23" fillId="0" borderId="79" xfId="31" applyFont="1" applyFill="1" applyBorder="1" applyAlignment="1">
      <alignment horizontal="center" vertical="center"/>
    </xf>
    <xf numFmtId="0" fontId="33" fillId="0" borderId="12" xfId="35" applyFont="1" applyFill="1" applyBorder="1" applyAlignment="1">
      <alignment horizontal="left" vertical="center"/>
    </xf>
    <xf numFmtId="0" fontId="44" fillId="0" borderId="12" xfId="35" applyFont="1" applyFill="1" applyBorder="1" applyAlignment="1">
      <alignment horizontal="center"/>
    </xf>
    <xf numFmtId="0" fontId="43" fillId="0" borderId="12" xfId="34" applyFill="1" applyBorder="1" applyAlignment="1"/>
    <xf numFmtId="0" fontId="24" fillId="0" borderId="32" xfId="31" applyFont="1" applyFill="1" applyBorder="1" applyAlignment="1">
      <alignment horizontal="left" vertical="center"/>
    </xf>
    <xf numFmtId="0" fontId="24" fillId="0" borderId="38" xfId="31" applyFont="1" applyFill="1" applyBorder="1" applyAlignment="1">
      <alignment horizontal="left" vertical="center"/>
    </xf>
    <xf numFmtId="0" fontId="40" fillId="0" borderId="62" xfId="31" applyFont="1" applyFill="1" applyBorder="1" applyAlignment="1">
      <alignment horizontal="left" vertical="center"/>
    </xf>
    <xf numFmtId="0" fontId="24" fillId="0" borderId="62" xfId="31" applyFont="1" applyFill="1" applyBorder="1" applyAlignment="1">
      <alignment horizontal="left" vertical="center"/>
    </xf>
    <xf numFmtId="0" fontId="40" fillId="6" borderId="75" xfId="31" applyFont="1" applyFill="1" applyBorder="1" applyAlignment="1">
      <alignment horizontal="center" vertical="center" wrapText="1"/>
    </xf>
    <xf numFmtId="0" fontId="40" fillId="6" borderId="66" xfId="31" applyFont="1" applyFill="1" applyBorder="1" applyAlignment="1">
      <alignment horizontal="center" vertical="center" wrapText="1"/>
    </xf>
    <xf numFmtId="0" fontId="24" fillId="0" borderId="64" xfId="31" applyFont="1" applyFill="1" applyBorder="1" applyAlignment="1">
      <alignment horizontal="left" vertical="center"/>
    </xf>
    <xf numFmtId="0" fontId="24" fillId="0" borderId="86" xfId="31" applyFont="1" applyFill="1" applyBorder="1" applyAlignment="1">
      <alignment horizontal="left" vertical="center"/>
    </xf>
    <xf numFmtId="0" fontId="24" fillId="0" borderId="88" xfId="31" applyFont="1" applyFill="1" applyBorder="1" applyAlignment="1">
      <alignment horizontal="left" vertical="center"/>
    </xf>
    <xf numFmtId="0" fontId="24" fillId="0" borderId="30" xfId="31" applyFont="1" applyFill="1" applyBorder="1" applyAlignment="1">
      <alignment horizontal="left" vertical="center"/>
    </xf>
    <xf numFmtId="0" fontId="24" fillId="0" borderId="14" xfId="31" applyFont="1" applyFill="1" applyBorder="1" applyAlignment="1">
      <alignment horizontal="left" vertical="center"/>
    </xf>
    <xf numFmtId="0" fontId="24" fillId="6" borderId="30" xfId="31" applyFont="1" applyFill="1" applyBorder="1" applyAlignment="1">
      <alignment horizontal="left" vertical="center"/>
    </xf>
    <xf numFmtId="0" fontId="24" fillId="6" borderId="14" xfId="31" applyFont="1" applyFill="1" applyBorder="1" applyAlignment="1">
      <alignment horizontal="left" vertical="center"/>
    </xf>
    <xf numFmtId="0" fontId="24" fillId="0" borderId="41" xfId="31" applyFont="1" applyFill="1" applyBorder="1" applyAlignment="1">
      <alignment horizontal="left" vertical="center"/>
    </xf>
    <xf numFmtId="0" fontId="24" fillId="0" borderId="42" xfId="31" applyFont="1" applyFill="1" applyBorder="1" applyAlignment="1">
      <alignment horizontal="left" vertical="center"/>
    </xf>
    <xf numFmtId="0" fontId="24" fillId="6" borderId="69" xfId="31" applyFont="1" applyFill="1" applyBorder="1" applyAlignment="1">
      <alignment horizontal="left" vertical="center"/>
    </xf>
    <xf numFmtId="0" fontId="24" fillId="6" borderId="89" xfId="31" applyFont="1" applyFill="1" applyBorder="1" applyAlignment="1">
      <alignment horizontal="left" vertical="center"/>
    </xf>
    <xf numFmtId="0" fontId="24" fillId="6" borderId="41" xfId="31" applyFont="1" applyFill="1" applyBorder="1" applyAlignment="1">
      <alignment horizontal="left" vertical="center"/>
    </xf>
    <xf numFmtId="0" fontId="40" fillId="0" borderId="64" xfId="31" applyFont="1" applyFill="1" applyBorder="1" applyAlignment="1">
      <alignment horizontal="left" vertical="center"/>
    </xf>
    <xf numFmtId="0" fontId="40" fillId="0" borderId="87" xfId="31" applyFont="1" applyFill="1" applyBorder="1" applyAlignment="1">
      <alignment horizontal="left" vertical="center"/>
    </xf>
    <xf numFmtId="0" fontId="24" fillId="0" borderId="42" xfId="31" applyFont="1" applyFill="1" applyBorder="1" applyAlignment="1">
      <alignment horizontal="center" vertical="center"/>
    </xf>
    <xf numFmtId="0" fontId="24" fillId="0" borderId="14" xfId="31" applyFont="1" applyFill="1" applyBorder="1" applyAlignment="1">
      <alignment horizontal="center" vertical="center"/>
    </xf>
    <xf numFmtId="0" fontId="24" fillId="6" borderId="14" xfId="31" applyFont="1" applyFill="1" applyBorder="1" applyAlignment="1">
      <alignment horizontal="center" vertical="center"/>
    </xf>
  </cellXfs>
  <cellStyles count="47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stilo 1" xfId="30"/>
    <cellStyle name="Excel Built-in Normal" xfId="31"/>
    <cellStyle name="Incorreto" xfId="32"/>
    <cellStyle name="Neutra" xfId="33"/>
    <cellStyle name="Normal" xfId="0" builtinId="0"/>
    <cellStyle name="Normal_met." xfId="34"/>
    <cellStyle name="Normal_Status_Report" xfId="35"/>
    <cellStyle name="Nota" xfId="36" builtinId="10" customBuiltin="1"/>
    <cellStyle name="Saída" xfId="37" builtinId="21" customBuiltin="1"/>
    <cellStyle name="Texto de Aviso" xfId="38" builtinId="11" customBuiltin="1"/>
    <cellStyle name="Texto Explicativo" xfId="39" builtinId="53" customBuiltin="1"/>
    <cellStyle name="Título 1" xfId="40" builtinId="16" customBuiltin="1"/>
    <cellStyle name="Título 1 1" xfId="41"/>
    <cellStyle name="Título 1 1 1" xfId="42"/>
    <cellStyle name="Título 2" xfId="43" builtinId="17" customBuiltin="1"/>
    <cellStyle name="Título 3" xfId="44" builtinId="18" customBuiltin="1"/>
    <cellStyle name="Título 4" xfId="45" builtinId="19" customBuiltin="1"/>
    <cellStyle name="Total" xfId="46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CE6F2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0F0F0"/>
      <rgbColor rgb="00CCFFCC"/>
      <rgbColor rgb="00FFFF99"/>
      <rgbColor rgb="008EB4E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8ED5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F497D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AR66"/>
  <ns0:sheetViews>
    <ns0:sheetView tabSelected="1" topLeftCell="A7" workbookViewId="0">
      <ns0:selection activeCell="D24" sqref="D24:AB28"/>
    </ns0:sheetView>
  </ns0:sheetViews>
  <ns0:sheetFormatPr defaultRowHeight="12.75" ns2:dyDescent="0.2"/>
  <ns0:cols>
    <ns0:col min="1" max="1" width="1.140625" style="1" customWidth="1"/>
    <ns0:col min="2" max="2" width="17.42578125" style="1" customWidth="1"/>
    <ns0:col min="3" max="3" width="30.5703125" style="1" customWidth="1"/>
    <ns0:col min="4" max="4" width="8.28515625" style="1" customWidth="1"/>
    <ns0:col min="5" max="5" width="7.5703125" style="1" customWidth="1"/>
    <ns0:col min="6" max="6" width="8" style="1" customWidth="1"/>
    <ns0:col min="7" max="7" width="7.85546875" style="1" customWidth="1"/>
    <ns0:col min="8" max="8" width="6.28515625" style="1" customWidth="1"/>
    <ns0:col min="9" max="10" width="8.140625" style="1" customWidth="1"/>
    <ns0:col min="11" max="11" width="8" style="1" customWidth="1"/>
    <ns0:col min="12" max="12" width="13" style="1" customWidth="1"/>
    <ns0:col min="13" max="13" width="11.5703125" style="1" customWidth="1"/>
    <ns0:col min="14" max="14" width="10" style="1" customWidth="1"/>
    <ns0:col min="15" max="15" width="9.28515625" style="1" customWidth="1"/>
    <ns0:col min="16" max="16" width="11.7109375" style="1" customWidth="1"/>
    <ns0:col min="17" max="17" width="10.140625" style="1" customWidth="1"/>
    <ns0:col min="18" max="18" width="11.7109375" style="1" customWidth="1"/>
    <ns0:col min="19" max="19" width="9.42578125" style="1" customWidth="1"/>
    <ns0:col min="20" max="20" width="10.5703125" style="1" customWidth="1"/>
    <ns0:col min="21" max="21" width="1.140625" style="1" customWidth="1"/>
    <ns0:col min="22" max="22" width="10.7109375" style="1" customWidth="1"/>
    <ns0:col min="23" max="23" width="14.7109375" style="1" customWidth="1"/>
    <ns0:col min="24" max="16384" width="9.140625" style="1"/>
  </ns0:cols>
  <ns0:sheetData>
    <ns0:row r="1" spans="1:44" s="4" customFormat="1" ht="12.75" customHeight="1" ns2:dyDescent="0.2">
      <ns0:c r="A1" s="2"/>
      <ns0:c r="B1" s="3"/>
      <ns0:c r="C1" s="144" t="s">
        <ns0:v>0</ns0:v>
      </ns0:c>
      <ns0:c r="D1" s="144"/>
      <ns0:c r="E1" s="144"/>
      <ns0:c r="F1" s="144"/>
      <ns0:c r="G1" s="144"/>
      <ns0:c r="H1" s="144"/>
      <ns0:c r="I1" s="144"/>
      <ns0:c r="J1" s="144"/>
      <ns0:c r="K1" s="144"/>
      <ns0:c r="L1" s="144"/>
      <ns0:c r="M1" s="145"/>
      <ns0:c r="N1" s="145"/>
      <ns0:c r="O1" s="145"/>
    </ns0:row>
    <ns0:row r="2" spans="1:44" s="4" customFormat="1" ht="12.75" customHeight="1" ns2:dyDescent="0.2">
      <ns0:c r="A2" s="5"/>
      <ns0:c r="B2" s="6"/>
      <ns0:c r="C2" s="144"/>
      <ns0:c r="D2" s="144"/>
      <ns0:c r="E2" s="144"/>
      <ns0:c r="F2" s="144"/>
      <ns0:c r="G2" s="144"/>
      <ns0:c r="H2" s="144"/>
      <ns0:c r="I2" s="144"/>
      <ns0:c r="J2" s="144"/>
      <ns0:c r="K2" s="144"/>
      <ns0:c r="L2" s="144"/>
      <ns0:c r="M2" s="145"/>
      <ns0:c r="N2" s="145"/>
      <ns0:c r="O2" s="145"/>
    </ns0:row>
    <ns0:row r="3" spans="1:44" s="4" customFormat="1" ht="12.75" customHeight="1" ns2:dyDescent="0.2">
      <ns0:c r="A3" s="5"/>
      <ns0:c r="B3" s="6"/>
      <ns0:c r="C3" s="144"/>
      <ns0:c r="D3" s="144"/>
      <ns0:c r="E3" s="144"/>
      <ns0:c r="F3" s="144"/>
      <ns0:c r="G3" s="144"/>
      <ns0:c r="H3" s="144"/>
      <ns0:c r="I3" s="144"/>
      <ns0:c r="J3" s="144"/>
      <ns0:c r="K3" s="144"/>
      <ns0:c r="L3" s="144"/>
      <ns0:c r="M3" s="146"/>
      <ns0:c r="N3" s="146"/>
      <ns0:c r="O3" s="146"/>
    </ns0:row>
    <ns0:row r="4" spans="1:44" s="4" customFormat="1" ht="14.25" customHeight="1" ns2:dyDescent="0.2">
      <ns0:c r="A4" s="7"/>
      <ns0:c r="B4" s="8"/>
      <ns0:c r="C4" s="144"/>
      <ns0:c r="D4" s="144"/>
      <ns0:c r="E4" s="144"/>
      <ns0:c r="F4" s="144"/>
      <ns0:c r="G4" s="144"/>
      <ns0:c r="H4" s="144"/>
      <ns0:c r="I4" s="144"/>
      <ns0:c r="J4" s="144"/>
      <ns0:c r="K4" s="144"/>
      <ns0:c r="L4" s="144"/>
      <ns0:c r="M4" s="146"/>
      <ns0:c r="N4" s="146"/>
      <ns0:c r="O4" s="146"/>
      <ns0:c r="P4" s="9"/>
      <ns0:c r="Q4" s="9"/>
      <ns0:c r="R4" s="9"/>
      <ns0:c r="S4" s="9"/>
      <ns0:c r="T4" s="9"/>
      <ns0:c r="U4" s="9"/>
    </ns0:row>
    <ns0:row r="5" spans="1:44" s="15" customFormat="1" ht="3" customHeight="1" ns2:dyDescent="0.2">
      <ns0:c r="A5" s="10"/>
      <ns0:c r="B5" s="10"/>
      <ns0:c r="C5" s="10"/>
      <ns0:c r="D5" s="10"/>
      <ns0:c r="E5" s="10"/>
      <ns0:c r="F5" s="10"/>
      <ns0:c r="G5" s="10"/>
      <ns0:c r="H5" s="10"/>
      <ns0:c r="I5" s="10"/>
      <ns0:c r="J5" s="10"/>
      <ns0:c r="K5" s="10"/>
      <ns0:c r="L5" s="10"/>
      <ns0:c r="M5" s="10"/>
      <ns0:c r="N5" s="10"/>
      <ns0:c r="O5" s="11"/>
      <ns0:c r="P5" s="12"/>
      <ns0:c r="Q5" s="12"/>
      <ns0:c r="R5" s="12"/>
      <ns0:c r="S5" s="12"/>
      <ns0:c r="T5" s="12"/>
      <ns0:c r="U5" s="13"/>
      <ns0:c r="V5" s="14"/>
      <ns0:c r="W5" s="14"/>
      <ns0:c r="X5" s="14"/>
      <ns0:c r="Y5" s="14"/>
      <ns0:c r="Z5" s="14"/>
      <ns0:c r="AA5" s="14"/>
      <ns0:c r="AB5" s="14"/>
      <ns0:c r="AC5" s="14"/>
      <ns0:c r="AD5" s="14"/>
      <ns0:c r="AE5" s="14"/>
      <ns0:c r="AF5" s="14"/>
      <ns0:c r="AG5" s="14"/>
      <ns0:c r="AH5" s="14"/>
      <ns0:c r="AI5" s="14"/>
      <ns0:c r="AJ5" s="14"/>
      <ns0:c r="AK5" s="14"/>
      <ns0:c r="AL5" s="14"/>
      <ns0:c r="AM5" s="14"/>
      <ns0:c r="AN5" s="14"/>
      <ns0:c r="AO5" s="14"/>
      <ns0:c r="AP5" s="14"/>
      <ns0:c r="AQ5" s="14"/>
      <ns0:c r="AR5" s="14"/>
    </ns0:row>
    <ns0:row r="6" spans="1:44" ht="13.5" customHeight="1" ns2:dyDescent="0.2">
      <ns0:c r="A6" s="142" t="s">
        <ns0:v>1</ns0:v>
      </ns0:c>
      <ns0:c r="B6" s="142"/>
      <ns0:c r="C6" s="143" t="s">
        <ns0:v>202</ns0:v>
      </ns0:c>
      <ns0:c r="D6" s="143"/>
      <ns0:c r="E6" s="143"/>
      <ns0:c r="F6" s="143"/>
      <ns0:c r="G6" s="143"/>
      <ns0:c r="H6" s="143"/>
      <ns0:c r="I6" s="143"/>
      <ns0:c r="J6" s="143"/>
      <ns0:c r="K6" s="143"/>
      <ns0:c r="L6" s="143"/>
      <ns0:c r="M6" s="143"/>
      <ns0:c r="N6" s="143"/>
      <ns0:c r="O6" s="11"/>
      <ns0:c r="P6" s="12"/>
      <ns0:c r="Q6" s="12"/>
      <ns0:c r="R6" s="12"/>
      <ns0:c r="S6" s="12"/>
      <ns0:c r="T6" s="12"/>
      <ns0:c r="U6" s="13"/>
      <ns0:c r="V6" s="16"/>
      <ns0:c r="W6" s="16"/>
    </ns0:row>
    <ns0:row r="7" spans="1:44" ht="13.5" customHeight="1" ns2:dyDescent="0.2">
      <ns0:c r="A7" s="142" t="s">
        <ns0:v>2</ns0:v>
      </ns0:c>
      <ns0:c r="B7" s="142"/>
      <ns0:c r="C7" s="143" t="s">
        <ns0:v>203</ns0:v>
      </ns0:c>
      <ns0:c r="D7" s="143"/>
      <ns0:c r="E7" s="143"/>
      <ns0:c r="F7" s="143"/>
      <ns0:c r="G7" s="143"/>
      <ns0:c r="H7" s="143"/>
      <ns0:c r="I7" s="143"/>
      <ns0:c r="J7" s="143"/>
      <ns0:c r="K7" s="143"/>
      <ns0:c r="L7" s="143"/>
      <ns0:c r="M7" s="143"/>
      <ns0:c r="N7" s="143"/>
      <ns0:c r="O7" s="11"/>
      <ns0:c r="P7" s="12"/>
      <ns0:c r="Q7" s="12"/>
      <ns0:c r="R7" s="12"/>
      <ns0:c r="S7" s="12"/>
      <ns0:c r="T7" s="12"/>
      <ns0:c r="U7" s="13"/>
      <ns0:c r="V7" s="16"/>
      <ns0:c r="W7" s="16"/>
    </ns0:row>
    <ns0:row r="8" spans="1:44" ns2:dyDescent="0.2">
      <ns0:c r="A8" s="142" t="s">
        <ns0:v>3</ns0:v>
      </ns0:c>
      <ns0:c r="B8" s="142"/>
      <ns0:c r="C8" s="147" t="s">
        <ns0:v>204</ns0:v>
      </ns0:c>
      <ns0:c r="D8" s="147"/>
      <ns0:c r="E8" s="147"/>
      <ns0:c r="F8" s="147"/>
      <ns0:c r="G8" s="147"/>
      <ns0:c r="H8" s="147"/>
      <ns0:c r="I8" s="147"/>
      <ns0:c r="J8" s="147"/>
      <ns0:c r="K8" s="147"/>
      <ns0:c r="L8" s="147"/>
      <ns0:c r="M8" s="147"/>
      <ns0:c r="N8" s="147"/>
      <ns0:c r="O8" s="11"/>
      <ns0:c r="P8" s="12"/>
      <ns0:c r="Q8" s="12"/>
      <ns0:c r="R8" s="12"/>
      <ns0:c r="S8" s="12"/>
      <ns0:c r="T8" s="12"/>
      <ns0:c r="U8" s="13"/>
      <ns0:c r="V8" s="16"/>
      <ns0:c r="W8" s="16"/>
    </ns0:row>
    <ns0:row r="9" spans="1:44" ns2:dyDescent="0.2">
      <ns0:c r="A9" s="142" t="s">
        <ns0:v>4</ns0:v>
      </ns0:c>
      <ns0:c r="B9" s="142"/>
      <ns0:c r="C9" s="148">
        <ns0:v>46316</ns0:v>
      </ns0:c>
      <ns0:c r="D9" s="148"/>
      <ns0:c r="E9" s="148"/>
      <ns0:c r="F9" s="148"/>
      <ns0:c r="G9" s="148"/>
      <ns0:c r="H9" s="148"/>
      <ns0:c r="I9" s="148"/>
      <ns0:c r="J9" s="148"/>
      <ns0:c r="K9" s="148"/>
      <ns0:c r="L9" s="148"/>
      <ns0:c r="M9" s="148"/>
      <ns0:c r="N9" s="148"/>
      <ns0:c r="O9" s="11"/>
      <ns0:c r="P9" s="12"/>
      <ns0:c r="Q9" s="12"/>
      <ns0:c r="R9" s="12"/>
      <ns0:c r="S9" s="12"/>
      <ns0:c r="T9" s="12"/>
      <ns0:c r="U9" s="13"/>
      <ns0:c r="V9" s="16"/>
      <ns0:c r="W9" s="16"/>
    </ns0:row>
    <ns0:row r="10" spans="1:44" s="15" customFormat="1" ht="3" customHeight="1" ns2:dyDescent="0.2">
      <ns0:c r="A10" s="17"/>
      <ns0:c r="B10" s="17"/>
      <ns0:c r="C10" s="17"/>
      <ns0:c r="D10" s="17"/>
      <ns0:c r="E10" s="17"/>
      <ns0:c r="F10" s="17"/>
      <ns0:c r="G10" s="17"/>
      <ns0:c r="H10" s="17"/>
      <ns0:c r="I10" s="17"/>
      <ns0:c r="J10" s="17"/>
      <ns0:c r="K10" s="17"/>
      <ns0:c r="L10" s="17"/>
      <ns0:c r="M10" s="17"/>
      <ns0:c r="N10" s="17"/>
      <ns0:c r="O10" s="18"/>
      <ns0:c r="P10" s="19"/>
      <ns0:c r="Q10" s="19"/>
      <ns0:c r="R10" s="19"/>
      <ns0:c r="S10" s="19"/>
      <ns0:c r="T10" s="19"/>
      <ns0:c r="U10" s="20"/>
      <ns0:c r="V10" s="14"/>
      <ns0:c r="W10" s="14"/>
      <ns0:c r="X10" s="14"/>
      <ns0:c r="Y10" s="14"/>
      <ns0:c r="Z10" s="14"/>
      <ns0:c r="AA10" s="14"/>
      <ns0:c r="AB10" s="14"/>
      <ns0:c r="AC10" s="14"/>
      <ns0:c r="AD10" s="14"/>
      <ns0:c r="AE10" s="14"/>
      <ns0:c r="AF10" s="14"/>
      <ns0:c r="AG10" s="14"/>
      <ns0:c r="AH10" s="14"/>
      <ns0:c r="AI10" s="14"/>
      <ns0:c r="AJ10" s="14"/>
      <ns0:c r="AK10" s="14"/>
      <ns0:c r="AL10" s="14"/>
      <ns0:c r="AM10" s="14"/>
      <ns0:c r="AN10" s="14"/>
      <ns0:c r="AO10" s="14"/>
      <ns0:c r="AP10" s="14"/>
      <ns0:c r="AQ10" s="14"/>
      <ns0:c r="AR10" s="14"/>
    </ns0:row>
    <ns0:row r="11" spans="1:44" s="25" customFormat="1" ht="4.5" customHeight="1" ns2:dyDescent="0.2">
      <ns0:c r="A11" s="21"/>
      <ns0:c r="B11" s="22"/>
      <ns0:c r="C11" s="22"/>
      <ns0:c r="D11" s="22"/>
      <ns0:c r="E11" s="22"/>
      <ns0:c r="F11" s="22"/>
      <ns0:c r="G11" s="22"/>
      <ns0:c r="H11" s="22"/>
      <ns0:c r="I11" s="22"/>
      <ns0:c r="J11" s="22"/>
      <ns0:c r="K11" s="22"/>
      <ns0:c r="L11" s="22"/>
      <ns0:c r="M11" s="22"/>
      <ns0:c r="N11" s="22"/>
      <ns0:c r="O11" s="23"/>
      <ns0:c r="P11" s="24"/>
      <ns0:c r="Q11" s="24"/>
      <ns0:c r="R11" s="24"/>
      <ns0:c r="S11" s="24"/>
      <ns0:c r="T11" s="24"/>
      <ns0:c r="U11" s="12"/>
    </ns0:row>
    <ns0:row r="12" spans="1:44" s="29" customFormat="1" ht="27" customHeight="1" ns2:dyDescent="0.2">
      <ns0:c r="A12" s="149"/>
      <ns0:c r="B12" s="150" t="s">
        <ns0:v>5</ns0:v>
      </ns0:c>
      <ns0:c r="C12" s="150"/>
      <ns0:c r="D12" s="151" t="s">
        <ns0:v>6</ns0:v>
      </ns0:c>
      <ns0:c r="E12" s="151" t="s">
        <ns0:v>7</ns0:v>
      </ns0:c>
      <ns0:c r="F12" s="151"/>
      <ns0:c r="G12" s="151"/>
      <ns0:c r="H12" s="151"/>
      <ns0:c r="I12" s="152" t="s">
        <ns0:v>8</ns0:v>
      </ns0:c>
      <ns0:c r="J12" s="152"/>
      <ns0:c r="K12" s="152"/>
      <ns0:c r="L12" s="26" t="s">
        <ns0:v>9</ns0:v>
      </ns0:c>
      <ns0:c r="M12" s="27" t="s">
        <ns0:v>10</ns0:v>
      </ns0:c>
      <ns0:c r="N12" s="151" t="s">
        <ns0:v>11</ns0:v>
      </ns0:c>
      <ns0:c r="O12" s="151"/>
      <ns0:c r="P12" s="151"/>
      <ns0:c r="Q12" s="156" t="s">
        <ns0:v>12</ns0:v>
      </ns0:c>
      <ns0:c r="R12" s="157" t="s">
        <ns0:v>13</ns0:v>
      </ns0:c>
      <ns0:c r="S12" s="158" t="s">
        <ns0:v>14</ns0:v>
      </ns0:c>
      <ns0:c r="T12" s="159" t="s">
        <ns0:v>15</ns0:v>
      </ns0:c>
      <ns0:c r="U12" s="28"/>
      <ns0:c r="V12" s="16"/>
      <ns0:c r="W12" s="16"/>
      <ns0:c r="X12" s="16"/>
      <ns0:c r="Y12" s="16"/>
    </ns0:row>
    <ns0:row r="13" spans="1:44" ht="39" customHeight="1" ns2:dyDescent="0.2">
      <ns0:c r="A13" s="149"/>
      <ns0:c r="B13" s="30" t="s">
        <ns0:v>16</ns0:v>
      </ns0:c>
      <ns0:c r="C13" s="31" t="s">
        <ns0:v>17</ns0:v>
      </ns0:c>
      <ns0:c r="D13" s="151"/>
      <ns0:c r="E13" s="32" t="s">
        <ns0:v>18</ns0:v>
      </ns0:c>
      <ns0:c r="F13" s="33" t="s">
        <ns0:v>19</ns0:v>
      </ns0:c>
      <ns0:c r="G13" s="33" t="s">
        <ns0:v>20</ns0:v>
      </ns0:c>
      <ns0:c r="H13" s="34" t="s">
        <ns0:v>21</ns0:v>
      </ns0:c>
      <ns0:c r="I13" s="35" t="s">
        <ns0:v>22</ns0:v>
      </ns0:c>
      <ns0:c r="J13" s="33" t="s">
        <ns0:v>23</ns0:v>
      </ns0:c>
      <ns0:c r="K13" s="36" t="s">
        <ns0:v>24</ns0:v>
      </ns0:c>
      <ns0:c r="L13" s="37" t="s">
        <ns0:v>8</ns0:v>
      </ns0:c>
      <ns0:c r="M13" s="38" t="s">
        <ns0:v>25</ns0:v>
      </ns0:c>
      <ns0:c r="N13" s="32" t="s">
        <ns0:v>26</ns0:v>
      </ns0:c>
      <ns0:c r="O13" s="33" t="s">
        <ns0:v>27</ns0:v>
      </ns0:c>
      <ns0:c r="P13" s="34" t="s">
        <ns0:v>28</ns0:v>
      </ns0:c>
      <ns0:c r="Q13" s="156"/>
      <ns0:c r="R13" s="157"/>
      <ns0:c r="S13" s="158"/>
      <ns0:c r="T13" s="159"/>
      <ns0:c r="U13" s="39"/>
      <ns0:c r="V13" s="16"/>
      <ns0:c r="W13" s="16"/>
      <ns0:c r="X13" s="16"/>
      <ns0:c r="Y13" s="16"/>
    </ns0:row>
    <ns0:row r="14" spans="1:44" ht="22.5" ns2:dyDescent="0.2">
      <ns0:c r="A14" s="149"/>
      <ns0:c r="B14" s="40">
        <ns0:v>1</ns0:v>
      </ns0:c>
      <ns0:c r="C14" s="41" t="s">
        <ns0:v>205</ns0:v>
      </ns0:c>
      <ns0:c r="D14" s="42">
        <ns0:v>2</ns0:v>
      </ns0:c>
      <ns0:c r="E14" s="40">
        <ns0:v>4</ns0:v>
      </ns0:c>
      <ns0:c r="F14" s="43">
        <ns0:v>2</ns0:v>
      </ns0:c>
      <ns0:c r="G14" s="43">
        <ns0:v>1</ns0:v>
      </ns0:c>
      <ns0:c r="H14" s="44">
        <ns0:v>2</ns0:v>
      </ns0:c>
      <ns0:c r="I14" s="45">
        <ns0:v>1</ns0:v>
      </ns0:c>
      <ns0:c r="J14" s="43">
        <ns0:v>3</ns0:v>
      </ns0:c>
      <ns0:c r="K14" s="46">
        <ns0:v>3</ns0:v>
      </ns0:c>
      <ns0:c r="L14" s="42">
        <ns0:v>2</ns0:v>
      </ns0:c>
      <ns0:c r="M14" s="47">
        <ns0:f t="shared" ref="M14:M21" si="0">SUM(E14:L14)*D14</ns0:f>
        <ns0:v>36</ns0:v>
      </ns0:c>
      <ns0:c r="N14" s="40">
        <ns0:v>1.2</ns0:v>
      </ns0:c>
      <ns0:c r="O14" s="43">
        <ns0:v>0.75</ns0:v>
      </ns0:c>
      <ns0:c r="P14" s="44">
        <ns0:v>1.2</ns0:v>
      </ns0:c>
      <ns0:c r="Q14" s="48">
        <ns0:f t="shared" ref="Q14:Q21" si="1">M14*N14*O14*P14</ns0:f>
        <ns0:v>38.88</ns0:v>
      </ns0:c>
      <ns0:c r="R14" s="49">
        <ns0:f t="shared" ref="R14:R21" si="2">(Q14*25)/55</ns0:f>
        <ns0:v>17.67</ns0:v>
      </ns0:c>
      <ns0:c r="S14" s="50">
        <ns0:f t="shared" ref="S14:S21" si="3">(Q14*20)/55</ns0:f>
        <ns0:v>14.14</ns0:v>
      </ns0:c>
      <ns0:c r="T14" s="51">
        <ns0:f t="shared" ref="T14:T21" si="4">SUM(Q14:S14)</ns0:f>
        <ns0:v>70.69</ns0:v>
      </ns0:c>
      <ns0:c r="U14" s="39"/>
      <ns0:c r="V14" s="16"/>
      <ns0:c r="W14" s="16"/>
      <ns0:c r="X14" s="16"/>
      <ns0:c r="Y14" s="16"/>
    </ns0:row>
    <ns0:row r="15" spans="1:44" ns2:dyDescent="0.2">
      <ns0:c r="A15" s="149"/>
      <ns0:c r="B15" s="52">
        <ns0:v>2</ns0:v>
      </ns0:c>
      <ns0:c r="C15" s="53" t="s">
        <ns0:v>206</ns0:v>
      </ns0:c>
      <ns0:c r="D15" s="54">
        <ns0:v>2</ns0:v>
      </ns0:c>
      <ns0:c r="E15" s="52">
        <ns0:v>4</ns0:v>
      </ns0:c>
      <ns0:c r="F15" s="55">
        <ns0:v>3</ns0:v>
      </ns0:c>
      <ns0:c r="G15" s="55">
        <ns0:v>1</ns0:v>
      </ns0:c>
      <ns0:c r="H15" s="56">
        <ns0:v>2</ns0:v>
      </ns0:c>
      <ns0:c r="I15" s="57">
        <ns0:v>1</ns0:v>
      </ns0:c>
      <ns0:c r="J15" s="55">
        <ns0:v>3</ns0:v>
      </ns0:c>
      <ns0:c r="K15" s="53">
        <ns0:v>3</ns0:v>
      </ns0:c>
      <ns0:c r="L15" s="54">
        <ns0:v>2</ns0:v>
      </ns0:c>
      <ns0:c r="M15" s="47">
        <ns0:f t="shared" si="0">SUM(E15:L15)*D15</ns0:f>
        <ns0:v>38</ns0:v>
      </ns0:c>
      <ns0:c r="N15" s="52">
        <ns0:v>1.2</ns0:v>
      </ns0:c>
      <ns0:c r="O15" s="55">
        <ns0:v>0.75</ns0:v>
      </ns0:c>
      <ns0:c r="P15" s="56">
        <ns0:v>1.8</ns0:v>
      </ns0:c>
      <ns0:c r="Q15" s="48">
        <ns0:f t="shared" si="1">M15*N15*O15*P15</ns0:f>
        <ns0:v>61.56</ns0:v>
      </ns0:c>
      <ns0:c r="R15" s="49">
        <ns0:f t="shared" si="2">(Q15*25)/55</ns0:f>
        <ns0:v>27.98</ns0:v>
      </ns0:c>
      <ns0:c r="S15" s="50">
        <ns0:f t="shared" si="3">(Q15*20)/55</ns0:f>
        <ns0:v>22.39</ns0:v>
      </ns0:c>
      <ns0:c r="T15" s="51">
        <ns0:f t="shared" si="4">SUM(Q15:S15)</ns0:f>
        <ns0:v>111.93</ns0:v>
      </ns0:c>
      <ns0:c r="U15" s="39"/>
      <ns0:c r="V15" s="16"/>
      <ns0:c r="W15" s="16"/>
      <ns0:c r="X15" s="16"/>
      <ns0:c r="Y15" s="16"/>
    </ns0:row>
    <ns0:row r="16" spans="1:44" ns2:dyDescent="0.2">
      <ns0:c r="A16" s="149"/>
      <ns0:c r="B16" s="40">
        <ns0:v>3</ns0:v>
      </ns0:c>
      <ns0:c r="C16" s="46" t="s">
        <ns0:v>207</ns0:v>
      </ns0:c>
      <ns0:c r="D16" s="42">
        <ns0:v>2</ns0:v>
      </ns0:c>
      <ns0:c r="E16" s="40">
        <ns0:v>2</ns0:v>
      </ns0:c>
      <ns0:c r="F16" s="43">
        <ns0:v>3</ns0:v>
      </ns0:c>
      <ns0:c r="G16" s="43">
        <ns0:v>2</ns0:v>
      </ns0:c>
      <ns0:c r="H16" s="44">
        <ns0:v>2</ns0:v>
      </ns0:c>
      <ns0:c r="I16" s="45">
        <ns0:v>2</ns0:v>
      </ns0:c>
      <ns0:c r="J16" s="43">
        <ns0:v>3</ns0:v>
      </ns0:c>
      <ns0:c r="K16" s="46">
        <ns0:v>3</ns0:v>
      </ns0:c>
      <ns0:c r="L16" s="42">
        <ns0:v>2</ns0:v>
      </ns0:c>
      <ns0:c r="M16" s="47">
        <ns0:f t="shared" si="0">SUM(E16:L16)*D16</ns0:f>
        <ns0:v>38</ns0:v>
      </ns0:c>
      <ns0:c r="N16" s="40">
        <ns0:v>1.2</ns0:v>
      </ns0:c>
      <ns0:c r="O16" s="43">
        <ns0:v>1.0</ns0:v>
      </ns0:c>
      <ns0:c r="P16" s="44">
        <ns0:v>2.4</ns0:v>
      </ns0:c>
      <ns0:c r="Q16" s="48">
        <ns0:f t="shared" si="1">M16*N16*O16*P16</ns0:f>
        <ns0:v>109.44</ns0:v>
      </ns0:c>
      <ns0:c r="R16" s="49">
        <ns0:f t="shared" si="2">(Q16*25)/55</ns0:f>
        <ns0:v>49.75</ns0:v>
      </ns0:c>
      <ns0:c r="S16" s="50">
        <ns0:f t="shared" si="3">(Q16*20)/55</ns0:f>
        <ns0:v>39.8</ns0:v>
      </ns0:c>
      <ns0:c r="T16" s="51">
        <ns0:f t="shared" si="4">SUM(Q16:S16)</ns0:f>
        <ns0:v>198.98</ns0:v>
      </ns0:c>
      <ns0:c r="U16" s="39"/>
      <ns0:c r="V16" s="16"/>
      <ns0:c r="W16" s="16"/>
      <ns0:c r="X16" s="16"/>
      <ns0:c r="Y16" s="16"/>
    </ns0:row>
    <ns0:row r="17" spans="1:28" ns2:dyDescent="0.2">
      <ns0:c r="A17" s="149"/>
      <ns0:c r="B17" s="52">
        <ns0:v>4</ns0:v>
      </ns0:c>
      <ns0:c r="C17" s="53" t="s">
        <ns0:v>208</ns0:v>
      </ns0:c>
      <ns0:c r="D17" s="54">
        <ns0:v>2</ns0:v>
      </ns0:c>
      <ns0:c r="E17" s="52">
        <ns0:v>4</ns0:v>
      </ns0:c>
      <ns0:c r="F17" s="55">
        <ns0:v>2</ns0:v>
      </ns0:c>
      <ns0:c r="G17" s="55">
        <ns0:v>2</ns0:v>
      </ns0:c>
      <ns0:c r="H17" s="56">
        <ns0:v>2</ns0:v>
      </ns0:c>
      <ns0:c r="I17" s="57">
        <ns0:v>1</ns0:v>
      </ns0:c>
      <ns0:c r="J17" s="55">
        <ns0:v>3</ns0:v>
      </ns0:c>
      <ns0:c r="K17" s="53">
        <ns0:v>2</ns0:v>
      </ns0:c>
      <ns0:c r="L17" s="54">
        <ns0:v>2</ns0:v>
      </ns0:c>
      <ns0:c r="M17" s="47">
        <ns0:f t="shared" si="0">SUM(E17:L17)*D17</ns0:f>
        <ns0:v>36</ns0:v>
      </ns0:c>
      <ns0:c r="N17" s="52">
        <ns0:v>1.2</ns0:v>
      </ns0:c>
      <ns0:c r="O17" s="55">
        <ns0:v>0.75</ns0:v>
      </ns0:c>
      <ns0:c r="P17" s="56">
        <ns0:v>1.8</ns0:v>
      </ns0:c>
      <ns0:c r="Q17" s="48">
        <ns0:f t="shared" si="1">M17*N17*O17*P17</ns0:f>
        <ns0:v>58.32</ns0:v>
      </ns0:c>
      <ns0:c r="R17" s="49">
        <ns0:f t="shared" si="2">(Q17*25)/55</ns0:f>
        <ns0:v>26.51</ns0:v>
      </ns0:c>
      <ns0:c r="S17" s="50">
        <ns0:f t="shared" si="3">(Q17*20)/55</ns0:f>
        <ns0:v>21.21</ns0:v>
      </ns0:c>
      <ns0:c r="T17" s="51">
        <ns0:f t="shared" si="4">SUM(Q17:S17)</ns0:f>
        <ns0:v>106.04</ns0:v>
      </ns0:c>
      <ns0:c r="U17" s="39"/>
      <ns0:c r="V17" s="16"/>
      <ns0:c r="W17" s="16"/>
      <ns0:c r="X17" s="16"/>
      <ns0:c r="Y17" s="16"/>
    </ns0:row>
    <ns0:row r="18" spans="1:28" ns2:dyDescent="0.2">
      <ns0:c r="A18" s="149"/>
      <ns0:c r="B18" s="40">
        <ns0:v>5</ns0:v>
      </ns0:c>
      <ns0:c r="C18" s="46" t="s">
        <ns0:v>209</ns0:v>
      </ns0:c>
      <ns0:c r="D18" s="42">
        <ns0:v>3</ns0:v>
      </ns0:c>
      <ns0:c r="E18" s="40">
        <ns0:v>4</ns0:v>
      </ns0:c>
      <ns0:c r="F18" s="43">
        <ns0:v>3</ns0:v>
      </ns0:c>
      <ns0:c r="G18" s="43">
        <ns0:v>3</ns0:v>
      </ns0:c>
      <ns0:c r="H18" s="44">
        <ns0:v>3</ns0:v>
      </ns0:c>
      <ns0:c r="I18" s="45">
        <ns0:v>1</ns0:v>
      </ns0:c>
      <ns0:c r="J18" s="43">
        <ns0:v>3</ns0:v>
      </ns0:c>
      <ns0:c r="K18" s="46">
        <ns0:v>3</ns0:v>
      </ns0:c>
      <ns0:c r="L18" s="42">
        <ns0:v>2</ns0:v>
      </ns0:c>
      <ns0:c r="M18" s="47">
        <ns0:f t="shared" si="0">SUM(E18:L18)*D18</ns0:f>
        <ns0:v>66</ns0:v>
      </ns0:c>
      <ns0:c r="N18" s="40">
        <ns0:v>1.2</ns0:v>
      </ns0:c>
      <ns0:c r="O18" s="43">
        <ns0:v>0.75</ns0:v>
      </ns0:c>
      <ns0:c r="P18" s="44">
        <ns0:v>1.8</ns0:v>
      </ns0:c>
      <ns0:c r="Q18" s="48">
        <ns0:f t="shared" si="1">M18*N18*O18*P18</ns0:f>
        <ns0:v>106.92</ns0:v>
      </ns0:c>
      <ns0:c r="R18" s="49">
        <ns0:f t="shared" si="2">(Q18*25)/55</ns0:f>
        <ns0:v>48.6</ns0:v>
      </ns0:c>
      <ns0:c r="S18" s="50">
        <ns0:f t="shared" si="3">(Q18*20)/55</ns0:f>
        <ns0:v>38.88</ns0:v>
      </ns0:c>
      <ns0:c r="T18" s="51">
        <ns0:f t="shared" si="4">SUM(Q18:S18)</ns0:f>
        <ns0:v>194.4</ns0:v>
      </ns0:c>
      <ns0:c r="U18" s="39"/>
      <ns0:c r="V18" s="16"/>
      <ns0:c r="W18" s="16"/>
      <ns0:c r="X18" s="16"/>
      <ns0:c r="Y18" s="16"/>
    </ns0:row>
    <ns0:row r="19" spans="1:28" ns2:dyDescent="0.2">
      <ns0:c r="A19" s="149"/>
      <ns0:c r="B19" s="52">
        <ns0:v>6</ns0:v>
      </ns0:c>
      <ns0:c r="C19" s="53" t="s">
        <ns0:v>210</ns0:v>
      </ns0:c>
      <ns0:c r="D19" s="54">
        <ns0:v>2</ns0:v>
      </ns0:c>
      <ns0:c r="E19" s="52">
        <ns0:v>2</ns0:v>
      </ns0:c>
      <ns0:c r="F19" s="55">
        <ns0:v>3</ns0:v>
      </ns0:c>
      <ns0:c r="G19" s="55">
        <ns0:v>1</ns0:v>
      </ns0:c>
      <ns0:c r="H19" s="56">
        <ns0:v>3</ns0:v>
      </ns0:c>
      <ns0:c r="I19" s="57">
        <ns0:v>2</ns0:v>
      </ns0:c>
      <ns0:c r="J19" s="55">
        <ns0:v>3</ns0:v>
      </ns0:c>
      <ns0:c r="K19" s="53">
        <ns0:v>3</ns0:v>
      </ns0:c>
      <ns0:c r="L19" s="54">
        <ns0:v>2</ns0:v>
      </ns0:c>
      <ns0:c r="M19" s="47">
        <ns0:f t="shared" si="0">SUM(E19:L19)*D19</ns0:f>
        <ns0:v>38</ns0:v>
      </ns0:c>
      <ns0:c r="N19" s="52">
        <ns0:v>1.2</ns0:v>
      </ns0:c>
      <ns0:c r="O19" s="55">
        <ns0:v>1.0</ns0:v>
      </ns0:c>
      <ns0:c r="P19" s="56">
        <ns0:v>2.4</ns0:v>
      </ns0:c>
      <ns0:c r="Q19" s="48">
        <ns0:f t="shared" si="1">M19*N19*O19*P19</ns0:f>
        <ns0:v>109.44</ns0:v>
      </ns0:c>
      <ns0:c r="R19" s="49">
        <ns0:f t="shared" si="2">(Q19*25)/55</ns0:f>
        <ns0:v>49.75</ns0:v>
      </ns0:c>
      <ns0:c r="S19" s="50">
        <ns0:f t="shared" si="3">(Q19*20)/55</ns0:f>
        <ns0:v>39.8</ns0:v>
      </ns0:c>
      <ns0:c r="T19" s="51">
        <ns0:f t="shared" si="4">SUM(Q19:S19)</ns0:f>
        <ns0:v>198.98</ns0:v>
      </ns0:c>
      <ns0:c r="U19" s="39"/>
      <ns0:c r="V19" s="16"/>
      <ns0:c r="W19" s="16"/>
      <ns0:c r="X19" s="16"/>
      <ns0:c r="Y19" s="16"/>
    </ns0:row>
    <ns0:row r="20" spans="1:28" ns2:dyDescent="0.2">
      <ns0:c r="A20" s="149"/>
      <ns0:c r="B20" s="40">
        <ns0:v>7</ns0:v>
      </ns0:c>
      <ns0:c r="C20" s="46" t="s">
        <ns0:v>211</ns0:v>
      </ns0:c>
      <ns0:c r="D20" s="42">
        <ns0:v>2</ns0:v>
      </ns0:c>
      <ns0:c r="E20" s="40">
        <ns0:v>3</ns0:v>
      </ns0:c>
      <ns0:c r="F20" s="43">
        <ns0:v>3</ns0:v>
      </ns0:c>
      <ns0:c r="G20" s="43">
        <ns0:v>3</ns0:v>
      </ns0:c>
      <ns0:c r="H20" s="44">
        <ns0:v>2</ns0:v>
      </ns0:c>
      <ns0:c r="I20" s="45">
        <ns0:v>1</ns0:v>
      </ns0:c>
      <ns0:c r="J20" s="43">
        <ns0:v>3</ns0:v>
      </ns0:c>
      <ns0:c r="K20" s="46">
        <ns0:v>3</ns0:v>
      </ns0:c>
      <ns0:c r="L20" s="42">
        <ns0:v>2</ns0:v>
      </ns0:c>
      <ns0:c r="M20" s="47">
        <ns0:f t="shared" si="0">SUM(E20:L20)*D20</ns0:f>
        <ns0:v>40</ns0:v>
      </ns0:c>
      <ns0:c r="N20" s="40">
        <ns0:v>1.2</ns0:v>
      </ns0:c>
      <ns0:c r="O20" s="43">
        <ns0:v>0.75</ns0:v>
      </ns0:c>
      <ns0:c r="P20" s="44">
        <ns0:v>1.8</ns0:v>
      </ns0:c>
      <ns0:c r="Q20" s="48">
        <ns0:f t="shared" si="1">M20*N20*O20*P20</ns0:f>
        <ns0:v>64.8</ns0:v>
      </ns0:c>
      <ns0:c r="R20" s="49">
        <ns0:f t="shared" si="2">(Q20*25)/55</ns0:f>
        <ns0:v>29.45</ns0:v>
      </ns0:c>
      <ns0:c r="S20" s="50">
        <ns0:f t="shared" si="3">(Q20*20)/55</ns0:f>
        <ns0:v>23.56</ns0:v>
      </ns0:c>
      <ns0:c r="T20" s="51">
        <ns0:f t="shared" si="4">SUM(Q20:S20)</ns0:f>
        <ns0:v>117.82</ns0:v>
      </ns0:c>
      <ns0:c r="U20" s="39"/>
      <ns0:c r="V20" s="16"/>
      <ns0:c r="W20" s="16"/>
      <ns0:c r="X20" s="16"/>
      <ns0:c r="Y20" s="16"/>
    </ns0:row>
    <ns0:row r="21" spans="1:28" ns2:dyDescent="0.2">
      <ns0:c r="A21" s="149"/>
      <ns0:c r="B21" s="52">
        <ns0:v>8</ns0:v>
      </ns0:c>
      <ns0:c r="C21" s="53" t="s">
        <ns0:v>212</ns0:v>
      </ns0:c>
      <ns0:c r="D21" s="54">
        <ns0:v>2</ns0:v>
      </ns0:c>
      <ns0:c r="E21" s="52">
        <ns0:v>0</ns0:v>
      </ns0:c>
      <ns0:c r="F21" s="55">
        <ns0:v>3</ns0:v>
      </ns0:c>
      <ns0:c r="G21" s="55">
        <ns0:v>1</ns0:v>
      </ns0:c>
      <ns0:c r="H21" s="56">
        <ns0:v>1</ns0:v>
      </ns0:c>
      <ns0:c r="I21" s="57">
        <ns0:v>2</ns0:v>
      </ns0:c>
      <ns0:c r="J21" s="55">
        <ns0:v>3</ns0:v>
      </ns0:c>
      <ns0:c r="K21" s="53">
        <ns0:v>3</ns0:v>
      </ns0:c>
      <ns0:c r="L21" s="54">
        <ns0:v>1</ns0:v>
      </ns0:c>
      <ns0:c r="M21" s="47">
        <ns0:f t="shared" si="0">SUM(E21:L21)*D21</ns0:f>
        <ns0:v>28</ns0:v>
      </ns0:c>
      <ns0:c r="N21" s="52">
        <ns0:v>1.2</ns0:v>
      </ns0:c>
      <ns0:c r="O21" s="55">
        <ns0:v>0.75</ns0:v>
      </ns0:c>
      <ns0:c r="P21" s="56">
        <ns0:v>1.8</ns0:v>
      </ns0:c>
      <ns0:c r="Q21" s="48">
        <ns0:f t="shared" si="1">M21*N21*O21*P21</ns0:f>
        <ns0:v>45.36</ns0:v>
      </ns0:c>
      <ns0:c r="R21" s="49">
        <ns0:f t="shared" si="2">(Q21*25)/55</ns0:f>
        <ns0:v>20.62</ns0:v>
      </ns0:c>
      <ns0:c r="S21" s="50">
        <ns0:f t="shared" si="3">(Q21*20)/55</ns0:f>
        <ns0:v>16.49</ns0:v>
      </ns0:c>
      <ns0:c r="T21" s="51">
        <ns0:f t="shared" si="4">SUM(Q21:S21)</ns0:f>
        <ns0:v>82.47</ns0:v>
      </ns0:c>
      <ns0:c r="U21" s="39"/>
      <ns0:c r="V21" s="16"/>
      <ns0:c r="W21" s="16"/>
      <ns0:c r="X21" s="16"/>
      <ns0:c r="Y21" s="16"/>
    </ns0:row>
    <ns0:row r="22" spans="1:28" ns2:dyDescent="0.2">
      <ns0:c r="A22" s="149"/>
      <ns0:c r="B22" s="160" t="s">
        <ns0:v>29</ns0:v>
      </ns0:c>
      <ns0:c r="C22" s="160"/>
      <ns0:c r="D22" s="58">
        <ns0:f t="shared" ref="D22:M22" si="5">SUM(D14:D21)</ns0:f>
        <ns0:v>17</ns0:v>
      </ns0:c>
      <ns0:c r="E22" s="59">
        <ns0:f t="shared" si="5"/>
        <ns0:v>6</ns0:v>
      </ns0:c>
      <ns0:c r="F22" s="60">
        <ns0:f t="shared" si="5"/>
        <ns0:v>4</ns0:v>
      </ns0:c>
      <ns0:c r="G22" s="60">
        <ns0:f t="shared" si="5"/>
        <ns0:v>1</ns0:v>
      </ns0:c>
      <ns0:c r="H22" s="61">
        <ns0:f t="shared" si="5"/>
        <ns0:v>3</ns0:v>
      </ns0:c>
      <ns0:c r="I22" s="59">
        <ns0:f t="shared" si="5"/>
        <ns0:v>3</ns0:v>
      </ns0:c>
      <ns0:c r="J22" s="60">
        <ns0:f t="shared" si="5"/>
        <ns0:v>5</ns0:v>
      </ns0:c>
      <ns0:c r="K22" s="61">
        <ns0:f t="shared" si="5"/>
        <ns0:v>2</ns0:v>
      </ns0:c>
      <ns0:c r="L22" s="62">
        <ns0:f t="shared" si="5"/>
        <ns0:v>4</ns0:v>
      </ns0:c>
      <ns0:c r="M22" s="63">
        <ns0:f t="shared" si="5"/>
        <ns0:v>41</ns0:v>
      </ns0:c>
      <ns0:c r="N22" s="64"/>
      <ns0:c r="O22" s="65"/>
      <ns0:c r="P22" s="66"/>
      <ns0:c r="Q22" s="67">
        <ns0:f>SUM(Q14:Q21)</ns0:f>
        <ns0:v>594.72</ns0:v>
      </ns0:c>
      <ns0:c r="R22" s="68">
        <ns0:f>SUM(R14:R21)</ns0:f>
        <ns0:v>270.33</ns0:v>
      </ns0:c>
      <ns0:c r="S22" s="69">
        <ns0:f>SUM(S14:S21)</ns0:f>
        <ns0:v>216.26</ns0:v>
      </ns0:c>
      <ns0:c r="T22" s="70">
        <ns0:f>SUM(T14:T21)</ns0:f>
        <ns0:v>1081.31</ns0:v>
      </ns0:c>
      <ns0:c r="U22" s="71"/>
      <ns0:c r="V22" s="16"/>
      <ns0:c r="W22" s="16"/>
      <ns0:c r="X22" s="16"/>
      <ns0:c r="Y22" s="16"/>
    </ns0:row>
    <ns0:row r="23" spans="1:28" ht="6" customHeight="1" ns2:dyDescent="0.2">
      <ns0:c r="A23" s="149"/>
      <ns0:c r="B23" s="161"/>
      <ns0:c r="C23" s="161"/>
      <ns0:c r="D23" s="72"/>
      <ns0:c r="E23" s="72"/>
      <ns0:c r="F23" s="72"/>
      <ns0:c r="G23" s="72"/>
      <ns0:c r="H23" s="72"/>
      <ns0:c r="I23" s="72"/>
      <ns0:c r="J23" s="72"/>
      <ns0:c r="K23" s="72"/>
      <ns0:c r="L23" s="72"/>
      <ns0:c r="M23" s="72"/>
      <ns0:c r="N23" s="72"/>
      <ns0:c r="O23" s="72"/>
      <ns0:c r="P23" s="72"/>
      <ns0:c r="Q23" s="72"/>
      <ns0:c r="R23" s="72"/>
      <ns0:c r="S23" s="72"/>
      <ns0:c r="T23" s="72"/>
      <ns0:c r="U23" s="72"/>
      <ns0:c r="V23" s="16"/>
      <ns0:c r="W23" s="16"/>
      <ns0:c r="X23" s="16"/>
      <ns0:c r="Y23" s="16"/>
    </ns0:row>
    <ns0:row r="24" spans="1:28" ht="24" customHeight="1" ns2:dyDescent="0.2">
      <ns0:c r="A24" s="149"/>
      <ns0:c r="B24" s="153" t="s">
        <ns0:v>30</ns0:v>
      </ns0:c>
      <ns0:c r="C24" s="153"/>
      <ns0:c r="D24" s="154"/>
      <ns0:c r="E24" s="154"/>
      <ns0:c r="F24" s="154"/>
      <ns0:c r="G24" s="154"/>
      <ns0:c r="H24" s="154"/>
      <ns0:c r="I24" s="154"/>
      <ns0:c r="J24" s="154"/>
      <ns0:c r="K24" s="154"/>
      <ns0:c r="L24" s="154"/>
      <ns0:c r="M24" s="154"/>
      <ns0:c r="N24" s="154"/>
      <ns0:c r="O24" s="154"/>
      <ns0:c r="P24" s="154"/>
      <ns0:c r="Q24" s="154"/>
      <ns0:c r="R24" s="154"/>
      <ns0:c r="S24" s="154"/>
      <ns0:c r="T24" s="154"/>
      <ns0:c r="U24" s="154"/>
      <ns0:c r="V24" s="154"/>
      <ns0:c r="W24" s="154"/>
      <ns0:c r="X24" s="154"/>
      <ns0:c r="Y24" s="154"/>
      <ns0:c r="Z24" s="154"/>
      <ns0:c r="AA24" s="154"/>
      <ns0:c r="AB24" s="154"/>
    </ns0:row>
    <ns0:row r="25" spans="1:28" ns2:dyDescent="0.2">
      <ns0:c r="A25" s="149"/>
      <ns0:c r="B25" s="73" t="s">
        <ns0:v>31</ns0:v>
      </ns0:c>
      <ns0:c r="C25" s="74">
        <ns0:f>R22</ns0:f>
        <ns0:v>270.33</ns0:v>
      </ns0:c>
      <ns0:c r="D25" s="154"/>
      <ns0:c r="E25" s="154"/>
      <ns0:c r="F25" s="154"/>
      <ns0:c r="G25" s="154"/>
      <ns0:c r="H25" s="154"/>
      <ns0:c r="I25" s="154"/>
      <ns0:c r="J25" s="154"/>
      <ns0:c r="K25" s="154"/>
      <ns0:c r="L25" s="154"/>
      <ns0:c r="M25" s="154"/>
      <ns0:c r="N25" s="154"/>
      <ns0:c r="O25" s="154"/>
      <ns0:c r="P25" s="154"/>
      <ns0:c r="Q25" s="154"/>
      <ns0:c r="R25" s="154"/>
      <ns0:c r="S25" s="154"/>
      <ns0:c r="T25" s="154"/>
      <ns0:c r="U25" s="154"/>
      <ns0:c r="V25" s="154"/>
      <ns0:c r="W25" s="154"/>
      <ns0:c r="X25" s="154"/>
      <ns0:c r="Y25" s="154"/>
      <ns0:c r="Z25" s="154"/>
      <ns0:c r="AA25" s="154"/>
      <ns0:c r="AB25" s="154"/>
    </ns0:row>
    <ns0:row r="26" spans="1:28" ns2:dyDescent="0.2">
      <ns0:c r="A26" s="149"/>
      <ns0:c r="B26" s="75" t="s">
        <ns0:v>32</ns0:v>
      </ns0:c>
      <ns0:c r="C26" s="76">
        <ns0:f>Q22</ns0:f>
        <ns0:v>594.72</ns0:v>
      </ns0:c>
      <ns0:c r="D26" s="154"/>
      <ns0:c r="E26" s="154"/>
      <ns0:c r="F26" s="154"/>
      <ns0:c r="G26" s="154"/>
      <ns0:c r="H26" s="154"/>
      <ns0:c r="I26" s="154"/>
      <ns0:c r="J26" s="154"/>
      <ns0:c r="K26" s="154"/>
      <ns0:c r="L26" s="154"/>
      <ns0:c r="M26" s="154"/>
      <ns0:c r="N26" s="154"/>
      <ns0:c r="O26" s="154"/>
      <ns0:c r="P26" s="154"/>
      <ns0:c r="Q26" s="154"/>
      <ns0:c r="R26" s="154"/>
      <ns0:c r="S26" s="154"/>
      <ns0:c r="T26" s="154"/>
      <ns0:c r="U26" s="154"/>
      <ns0:c r="V26" s="154"/>
      <ns0:c r="W26" s="154"/>
      <ns0:c r="X26" s="154"/>
      <ns0:c r="Y26" s="154"/>
      <ns0:c r="Z26" s="154"/>
      <ns0:c r="AA26" s="154"/>
      <ns0:c r="AB26" s="154"/>
    </ns0:row>
    <ns0:row r="27" spans="1:28" ns2:dyDescent="0.2">
      <ns0:c r="A27" s="149"/>
      <ns0:c r="B27" s="73" t="s">
        <ns0:v>33</ns0:v>
      </ns0:c>
      <ns0:c r="C27" s="74">
        <ns0:f>S22</ns0:f>
        <ns0:v>216.26</ns0:v>
      </ns0:c>
      <ns0:c r="D27" s="154"/>
      <ns0:c r="E27" s="154"/>
      <ns0:c r="F27" s="154"/>
      <ns0:c r="G27" s="154"/>
      <ns0:c r="H27" s="154"/>
      <ns0:c r="I27" s="154"/>
      <ns0:c r="J27" s="154"/>
      <ns0:c r="K27" s="154"/>
      <ns0:c r="L27" s="154"/>
      <ns0:c r="M27" s="154"/>
      <ns0:c r="N27" s="154"/>
      <ns0:c r="O27" s="154"/>
      <ns0:c r="P27" s="154"/>
      <ns0:c r="Q27" s="154"/>
      <ns0:c r="R27" s="154"/>
      <ns0:c r="S27" s="154"/>
      <ns0:c r="T27" s="154"/>
      <ns0:c r="U27" s="154"/>
      <ns0:c r="V27" s="154"/>
      <ns0:c r="W27" s="154"/>
      <ns0:c r="X27" s="154"/>
      <ns0:c r="Y27" s="154"/>
      <ns0:c r="Z27" s="154"/>
      <ns0:c r="AA27" s="154"/>
      <ns0:c r="AB27" s="154"/>
    </ns0:row>
    <ns0:row r="28" spans="1:28" ns2:dyDescent="0.2">
      <ns0:c r="A28" s="149"/>
      <ns0:c r="B28" s="77" t="s">
        <ns0:v>34</ns0:v>
      </ns0:c>
      <ns0:c r="C28" s="78">
        <ns0:f>SUM(C25:C27)</ns0:f>
        <ns0:v>1081.31</ns0:v>
      </ns0:c>
      <ns0:c r="D28" s="154"/>
      <ns0:c r="E28" s="154"/>
      <ns0:c r="F28" s="154"/>
      <ns0:c r="G28" s="154"/>
      <ns0:c r="H28" s="154"/>
      <ns0:c r="I28" s="154"/>
      <ns0:c r="J28" s="154"/>
      <ns0:c r="K28" s="154"/>
      <ns0:c r="L28" s="154"/>
      <ns0:c r="M28" s="154"/>
      <ns0:c r="N28" s="154"/>
      <ns0:c r="O28" s="154"/>
      <ns0:c r="P28" s="154"/>
      <ns0:c r="Q28" s="154"/>
      <ns0:c r="R28" s="154"/>
      <ns0:c r="S28" s="154"/>
      <ns0:c r="T28" s="154"/>
      <ns0:c r="U28" s="154"/>
      <ns0:c r="V28" s="154"/>
      <ns0:c r="W28" s="154"/>
      <ns0:c r="X28" s="154"/>
      <ns0:c r="Y28" s="154"/>
      <ns0:c r="Z28" s="154"/>
      <ns0:c r="AA28" s="154"/>
      <ns0:c r="AB28" s="154"/>
    </ns0:row>
    <ns0:row r="29" spans="1:28" s="81" customFormat="1" ht="5.25" customHeight="1" ns2:dyDescent="0.2">
      <ns0:c r="A29" s="149"/>
      <ns0:c r="B29" s="22"/>
      <ns0:c r="C29" s="22"/>
      <ns0:c r="D29" s="79"/>
      <ns0:c r="E29" s="79"/>
      <ns0:c r="F29" s="79"/>
      <ns0:c r="G29" s="79"/>
      <ns0:c r="H29" s="79"/>
      <ns0:c r="I29" s="79"/>
      <ns0:c r="J29" s="79"/>
      <ns0:c r="K29" s="79"/>
      <ns0:c r="L29" s="79"/>
      <ns0:c r="M29" s="79"/>
      <ns0:c r="N29" s="79"/>
      <ns0:c r="O29" s="79"/>
      <ns0:c r="P29" s="79"/>
      <ns0:c r="Q29" s="79"/>
      <ns0:c r="R29" s="79"/>
      <ns0:c r="S29" s="79"/>
      <ns0:c r="T29" s="79"/>
      <ns0:c r="U29" s="79"/>
      <ns0:c r="V29" s="80"/>
      <ns0:c r="W29" s="80"/>
      <ns0:c r="X29" s="80"/>
      <ns0:c r="Y29" s="80"/>
    </ns0:row>
    <ns0:row r="30" spans="1:28" s="84" customFormat="1" ns2:dyDescent="0.2">
      <ns0:c r="A30" s="82"/>
      <ns0:c r="B30" s="82"/>
      <ns0:c r="C30" s="82"/>
      <ns0:c r="D30" s="82" t="s">
        <ns0:v>35</ns0:v>
      </ns0:c>
      <ns0:c r="E30" s="82" t="s">
        <ns0:v>36</ns0:v>
      </ns0:c>
      <ns0:c r="F30" s="82" t="s">
        <ns0:v>37</ns0:v>
      </ns0:c>
      <ns0:c r="G30" s="82" t="s">
        <ns0:v>38</ns0:v>
      </ns0:c>
      <ns0:c r="H30" s="82" t="s">
        <ns0:v>39</ns0:v>
      </ns0:c>
      <ns0:c r="I30" s="82" t="s">
        <ns0:v>40</ns0:v>
      </ns0:c>
      <ns0:c r="J30" s="82" t="s">
        <ns0:v>41</ns0:v>
      </ns0:c>
      <ns0:c r="K30" s="82" t="s">
        <ns0:v>42</ns0:v>
      </ns0:c>
      <ns0:c r="L30" s="82"/>
      <ns0:c r="M30" s="82"/>
      <ns0:c r="N30" s="82"/>
      <ns0:c r="O30" s="82"/>
      <ns0:c r="P30" s="82"/>
      <ns0:c r="Q30" s="82"/>
      <ns0:c r="R30" s="82"/>
      <ns0:c r="S30" s="82"/>
      <ns0:c r="T30" s="82"/>
      <ns0:c r="U30" s="82"/>
      <ns0:c r="V30" s="83"/>
      <ns0:c r="W30" s="83"/>
      <ns0:c r="X30" s="83"/>
      <ns0:c r="Y30" s="83"/>
    </ns0:row>
    <ns0:row r="31" spans="1:28" s="84" customFormat="1" ns2:dyDescent="0.2">
      <ns0:c r="A31" s="82"/>
      <ns0:c r="B31" s="82"/>
      <ns0:c r="C31" s="82"/>
      <ns0:c r="D31" s="82">
        <ns0:v>0</ns0:v>
      </ns0:c>
      <ns0:c r="E31" s="82">
        <ns0:v>0</ns0:v>
      </ns0:c>
      <ns0:c r="F31" s="82">
        <ns0:v>1</ns0:v>
      </ns0:c>
      <ns0:c r="G31" s="82">
        <ns0:v>0</ns0:v>
      </ns0:c>
      <ns0:c r="H31" s="82">
        <ns0:v>1</ns0:v>
      </ns0:c>
      <ns0:c r="I31" s="82">
        <ns0:v>1</ns0:v>
      </ns0:c>
      <ns0:c r="J31" s="82">
        <ns0:v>0.6</ns0:v>
      </ns0:c>
      <ns0:c r="K31" s="82" t="s">
        <ns0:v>43</ns0:v>
      </ns0:c>
      <ns0:c r="L31" s="82"/>
      <ns0:c r="M31" s="82"/>
      <ns0:c r="N31" s="82"/>
      <ns0:c r="O31" s="82"/>
      <ns0:c r="P31" s="82"/>
      <ns0:c r="Q31" s="82"/>
      <ns0:c r="R31" s="82"/>
      <ns0:c r="S31" s="82"/>
      <ns0:c r="T31" s="82"/>
      <ns0:c r="U31" s="82"/>
      <ns0:c r="V31" s="83"/>
      <ns0:c r="W31" s="83"/>
      <ns0:c r="X31" s="83"/>
      <ns0:c r="Y31" s="83"/>
    </ns0:row>
    <ns0:row r="32" spans="1:28" s="84" customFormat="1" ns2:dyDescent="0.2">
      <ns0:c r="A32" s="82"/>
      <ns0:c r="B32" s="82"/>
      <ns0:c r="C32" s="82"/>
      <ns0:c r="D32" s="82">
        <ns0:v>2</ns0:v>
      </ns0:c>
      <ns0:c r="E32" s="82">
        <ns0:v>1</ns0:v>
      </ns0:c>
      <ns0:c r="F32" s="82">
        <ns0:v>2</ns0:v>
      </ns0:c>
      <ns0:c r="G32" s="82">
        <ns0:v>2</ns0:v>
      </ns0:c>
      <ns0:c r="H32" s="82">
        <ns0:v>1.2</ns0:v>
      </ns0:c>
      <ns0:c r="I32" s="82">
        <ns0:v>0.75</ns0:v>
      </ns0:c>
      <ns0:c r="J32" s="82">
        <ns0:v>0.9</ns0:v>
      </ns0:c>
      <ns0:c r="K32" s="82" t="s">
        <ns0:v>44</ns0:v>
      </ns0:c>
      <ns0:c r="L32" s="82"/>
      <ns0:c r="M32" s="82"/>
      <ns0:c r="N32" s="82"/>
      <ns0:c r="O32" s="82"/>
      <ns0:c r="P32" s="82"/>
      <ns0:c r="Q32" s="82"/>
      <ns0:c r="R32" s="82"/>
      <ns0:c r="S32" s="82"/>
      <ns0:c r="T32" s="82"/>
      <ns0:c r="U32" s="82"/>
      <ns0:c r="V32" s="83"/>
      <ns0:c r="W32" s="83"/>
      <ns0:c r="X32" s="83"/>
      <ns0:c r="Y32" s="83"/>
    </ns0:row>
    <ns0:row r="33" spans="1:25" s="84" customFormat="1" ns2:dyDescent="0.2">
      <ns0:c r="A33" s="82"/>
      <ns0:c r="B33" s="82"/>
      <ns0:c r="C33" s="82"/>
      <ns0:c r="D33" s="82">
        <ns0:v>3</ns0:v>
      </ns0:c>
      <ns0:c r="E33" s="82">
        <ns0:v>2</ns0:v>
      </ns0:c>
      <ns0:c r="F33" s="82">
        <ns0:v>3</ns0:v>
      </ns0:c>
      <ns0:c r="G33" s="82">
        <ns0:v>3</ns0:v>
      </ns0:c>
      <ns0:c r="H33" s="82"/>
      <ns0:c r="I33" s="82">
        <ns0:v>0.5</ns0:v>
      </ns0:c>
      <ns0:c r="J33" s="82">
        <ns0:v>1.2</ns0:v>
      </ns0:c>
      <ns0:c r="K33" s="82" t="s">
        <ns0:v>45</ns0:v>
      </ns0:c>
      <ns0:c r="L33" s="82"/>
      <ns0:c r="M33" s="82"/>
      <ns0:c r="N33" s="82"/>
      <ns0:c r="O33" s="82"/>
      <ns0:c r="P33" s="82"/>
      <ns0:c r="Q33" s="82"/>
      <ns0:c r="R33" s="82"/>
      <ns0:c r="S33" s="82"/>
      <ns0:c r="T33" s="82"/>
      <ns0:c r="U33" s="82"/>
      <ns0:c r="V33" s="83"/>
      <ns0:c r="W33" s="83"/>
      <ns0:c r="X33" s="83"/>
      <ns0:c r="Y33" s="83"/>
    </ns0:row>
    <ns0:row r="34" spans="1:25" s="84" customFormat="1" ns2:dyDescent="0.2">
      <ns0:c r="A34" s="82"/>
      <ns0:c r="B34" s="82"/>
      <ns0:c r="C34" s="82"/>
      <ns0:c r="D34" s="82">
        <ns0:v>4</ns0:v>
      </ns0:c>
      <ns0:c r="E34" s="82">
        <ns0:v>3</ns0:v>
      </ns0:c>
      <ns0:c r="F34" s="82"/>
      <ns0:c r="G34" s="82"/>
      <ns0:c r="H34" s="82"/>
      <ns0:c r="I34" s="82"/>
      <ns0:c r="J34" s="82">
        <ns0:v>1.8</ns0:v>
      </ns0:c>
      <ns0:c r="K34" s="82"/>
      <ns0:c r="L34" s="82"/>
      <ns0:c r="M34" s="82"/>
      <ns0:c r="N34" s="82"/>
      <ns0:c r="O34" s="82"/>
      <ns0:c r="P34" s="82"/>
      <ns0:c r="Q34" s="82"/>
      <ns0:c r="R34" s="82"/>
      <ns0:c r="S34" s="82"/>
      <ns0:c r="T34" s="82"/>
      <ns0:c r="U34" s="82"/>
      <ns0:c r="V34" s="83"/>
      <ns0:c r="W34" s="83"/>
      <ns0:c r="X34" s="83"/>
      <ns0:c r="Y34" s="83"/>
    </ns0:row>
    <ns0:row r="35" spans="1:25" s="84" customFormat="1" ns2:dyDescent="0.2">
      <ns0:c r="A35" s="82"/>
      <ns0:c r="B35" s="82"/>
      <ns0:c r="C35" s="82"/>
      <ns0:c r="D35" s="82"/>
      <ns0:c r="E35" s="82"/>
      <ns0:c r="F35" s="82"/>
      <ns0:c r="G35" s="82"/>
      <ns0:c r="H35" s="82"/>
      <ns0:c r="I35" s="82"/>
      <ns0:c r="J35" s="82">
        <ns0:v>2.4</ns0:v>
      </ns0:c>
      <ns0:c r="K35" s="82"/>
      <ns0:c r="L35" s="82"/>
      <ns0:c r="M35" s="82"/>
      <ns0:c r="N35" s="82"/>
      <ns0:c r="O35" s="82"/>
      <ns0:c r="P35" s="82"/>
      <ns0:c r="Q35" s="82"/>
      <ns0:c r="R35" s="82"/>
      <ns0:c r="S35" s="82"/>
      <ns0:c r="T35" s="82"/>
      <ns0:c r="U35" s="82"/>
      <ns0:c r="V35" s="83"/>
      <ns0:c r="W35" s="83"/>
      <ns0:c r="X35" s="83"/>
      <ns0:c r="Y35" s="83"/>
    </ns0:row>
    <ns0:row r="36" spans="1:25" s="84" customFormat="1" ns2:dyDescent="0.2">
      <ns0:c r="A36" s="82"/>
      <ns0:c r="B36" s="82"/>
      <ns0:c r="C36" s="82"/>
      <ns0:c r="D36" s="82"/>
      <ns0:c r="E36" s="82"/>
      <ns0:c r="F36" s="82"/>
      <ns0:c r="G36" s="82"/>
      <ns0:c r="H36" s="82"/>
      <ns0:c r="I36" s="82"/>
      <ns0:c r="J36" s="82">
        <ns0:v>3.6</ns0:v>
      </ns0:c>
      <ns0:c r="K36" s="82"/>
      <ns0:c r="L36" s="82"/>
      <ns0:c r="M36" s="82"/>
      <ns0:c r="N36" s="82"/>
      <ns0:c r="O36" s="82"/>
      <ns0:c r="P36" s="82"/>
      <ns0:c r="Q36" s="82"/>
      <ns0:c r="R36" s="82"/>
      <ns0:c r="S36" s="82"/>
      <ns0:c r="T36" s="82"/>
      <ns0:c r="U36" s="82"/>
      <ns0:c r="V36" s="83"/>
      <ns0:c r="W36" s="83"/>
      <ns0:c r="X36" s="83"/>
      <ns0:c r="Y36" s="83"/>
    </ns0:row>
    <ns0:row r="37" spans="1:25" s="84" customFormat="1" ns2:dyDescent="0.2">
      <ns0:c r="A37" s="82"/>
      <ns0:c r="B37" s="82"/>
      <ns0:c r="C37" s="82"/>
      <ns0:c r="D37" s="82"/>
      <ns0:c r="E37" s="82"/>
      <ns0:c r="F37" s="82"/>
      <ns0:c r="G37" s="82"/>
      <ns0:c r="H37" s="82"/>
      <ns0:c r="I37" s="82"/>
      <ns0:c r="J37" s="82">
        <ns0:v>4.8</ns0:v>
      </ns0:c>
      <ns0:c r="K37" s="82"/>
      <ns0:c r="L37" s="82"/>
      <ns0:c r="M37" s="82"/>
      <ns0:c r="N37" s="82"/>
      <ns0:c r="O37" s="82"/>
      <ns0:c r="P37" s="82"/>
      <ns0:c r="Q37" s="82"/>
      <ns0:c r="R37" s="82"/>
      <ns0:c r="S37" s="82"/>
      <ns0:c r="T37" s="82"/>
      <ns0:c r="U37" s="82"/>
      <ns0:c r="V37" s="83"/>
      <ns0:c r="W37" s="83"/>
      <ns0:c r="X37" s="83"/>
      <ns0:c r="Y37" s="83"/>
    </ns0:row>
    <ns0:row r="38" spans="1:25" s="84" customFormat="1" ns2:dyDescent="0.2">
      <ns0:c r="A38" s="82"/>
      <ns0:c r="B38" s="82"/>
      <ns0:c r="C38" s="82"/>
      <ns0:c r="D38" s="82"/>
      <ns0:c r="E38" s="82"/>
      <ns0:c r="F38" s="82"/>
      <ns0:c r="G38" s="82"/>
      <ns0:c r="H38" s="82"/>
      <ns0:c r="I38" s="82"/>
      <ns0:c r="J38" s="82"/>
      <ns0:c r="K38" s="82"/>
      <ns0:c r="L38" s="82"/>
      <ns0:c r="M38" s="82"/>
      <ns0:c r="N38" s="82"/>
      <ns0:c r="O38" s="82"/>
      <ns0:c r="P38" s="82"/>
      <ns0:c r="Q38" s="82"/>
      <ns0:c r="R38" s="82"/>
      <ns0:c r="S38" s="82"/>
      <ns0:c r="T38" s="82"/>
      <ns0:c r="U38" s="82"/>
      <ns0:c r="V38" s="83"/>
      <ns0:c r="W38" s="83"/>
      <ns0:c r="X38" s="83"/>
      <ns0:c r="Y38" s="83"/>
    </ns0:row>
    <ns0:row r="39" spans="1:25" s="84" customFormat="1" ns2:dyDescent="0.2">
      <ns0:c r="A39" s="82"/>
      <ns0:c r="B39" s="82"/>
      <ns0:c r="C39" s="82"/>
      <ns0:c r="D39" s="82"/>
      <ns0:c r="E39" s="82"/>
      <ns0:c r="F39" s="82"/>
      <ns0:c r="G39" s="82"/>
      <ns0:c r="H39" s="82"/>
      <ns0:c r="I39" s="82"/>
      <ns0:c r="J39" s="82"/>
      <ns0:c r="K39" s="82"/>
      <ns0:c r="L39" s="82"/>
      <ns0:c r="M39" s="82"/>
      <ns0:c r="N39" s="82"/>
      <ns0:c r="O39" s="82"/>
      <ns0:c r="P39" s="82"/>
      <ns0:c r="Q39" s="82"/>
      <ns0:c r="R39" s="82"/>
      <ns0:c r="S39" s="82"/>
      <ns0:c r="T39" s="82"/>
      <ns0:c r="U39" s="82"/>
      <ns0:c r="V39" s="82"/>
      <ns0:c r="W39" s="82"/>
      <ns0:c r="X39" s="83"/>
      <ns0:c r="Y39" s="83"/>
    </ns0:row>
    <ns0:row r="40" spans="1:25" s="84" customFormat="1" ns2:dyDescent="0.2">
      <ns0:c r="A40" s="82"/>
      <ns0:c r="B40" s="82"/>
      <ns0:c r="C40" s="82"/>
      <ns0:c r="D40" s="82"/>
      <ns0:c r="E40" s="82"/>
      <ns0:c r="F40" s="82"/>
      <ns0:c r="G40" s="82"/>
      <ns0:c r="H40" s="82"/>
      <ns0:c r="I40" s="82"/>
      <ns0:c r="J40" s="82"/>
      <ns0:c r="K40" s="82"/>
      <ns0:c r="L40" s="82"/>
      <ns0:c r="M40" s="82"/>
      <ns0:c r="N40" s="82"/>
      <ns0:c r="O40" s="82"/>
      <ns0:c r="P40" s="82"/>
      <ns0:c r="Q40" s="82"/>
      <ns0:c r="R40" s="82"/>
      <ns0:c r="S40" s="82"/>
      <ns0:c r="T40" s="82"/>
      <ns0:c r="U40" s="82"/>
      <ns0:c r="V40" s="82"/>
      <ns0:c r="W40" s="82"/>
      <ns0:c r="X40" s="83"/>
      <ns0:c r="Y40" s="83"/>
    </ns0:row>
    <ns0:row r="41" spans="1:25" s="84" customFormat="1" ns2:dyDescent="0.2">
      <ns0:c r="A41" s="82"/>
      <ns0:c r="B41" s="82"/>
      <ns0:c r="C41" s="82"/>
      <ns0:c r="D41" s="82"/>
      <ns0:c r="E41" s="82"/>
      <ns0:c r="F41" s="82"/>
      <ns0:c r="G41" s="82"/>
      <ns0:c r="H41" s="82"/>
      <ns0:c r="I41" s="82"/>
      <ns0:c r="J41" s="82"/>
      <ns0:c r="K41" s="82"/>
      <ns0:c r="L41" s="82"/>
      <ns0:c r="M41" s="82"/>
      <ns0:c r="N41" s="82"/>
      <ns0:c r="O41" s="82"/>
      <ns0:c r="P41" s="82"/>
      <ns0:c r="Q41" s="82"/>
      <ns0:c r="R41" s="82"/>
      <ns0:c r="S41" s="82"/>
      <ns0:c r="T41" s="82"/>
      <ns0:c r="U41" s="82"/>
      <ns0:c r="V41" s="82"/>
      <ns0:c r="W41" s="82"/>
      <ns0:c r="X41" s="83"/>
      <ns0:c r="Y41" s="83"/>
    </ns0:row>
    <ns0:row r="42" spans="1:25" s="84" customFormat="1" ns2:dyDescent="0.2">
      <ns0:c r="A42" s="82"/>
      <ns0:c r="B42" s="82"/>
      <ns0:c r="C42" s="82"/>
      <ns0:c r="D42" s="82"/>
      <ns0:c r="E42" s="82"/>
      <ns0:c r="F42" s="82"/>
      <ns0:c r="G42" s="82"/>
      <ns0:c r="H42" s="82"/>
      <ns0:c r="I42" s="82"/>
      <ns0:c r="J42" s="82"/>
      <ns0:c r="K42" s="82"/>
      <ns0:c r="L42" s="82"/>
      <ns0:c r="M42" s="82"/>
      <ns0:c r="N42" s="82"/>
      <ns0:c r="O42" s="82"/>
      <ns0:c r="P42" s="82"/>
      <ns0:c r="Q42" s="82"/>
      <ns0:c r="R42" s="82"/>
      <ns0:c r="S42" s="82"/>
      <ns0:c r="T42" s="82"/>
      <ns0:c r="U42" s="82"/>
      <ns0:c r="V42" s="82"/>
      <ns0:c r="W42" s="82"/>
      <ns0:c r="X42" s="83"/>
      <ns0:c r="Y42" s="83"/>
    </ns0:row>
    <ns0:row r="43" spans="1:25" s="84" customFormat="1" ns2:dyDescent="0.2">
      <ns0:c r="A43" s="82"/>
      <ns0:c r="B43" s="82"/>
      <ns0:c r="C43" s="85"/>
      <ns0:c r="D43" s="85"/>
      <ns0:c r="E43" s="85"/>
      <ns0:c r="F43" s="85"/>
      <ns0:c r="G43" s="85"/>
      <ns0:c r="H43" s="85"/>
      <ns0:c r="I43" s="85"/>
      <ns0:c r="J43" s="85"/>
      <ns0:c r="K43" s="85"/>
      <ns0:c r="L43" s="85"/>
      <ns0:c r="M43" s="85"/>
      <ns0:c r="N43" s="85"/>
      <ns0:c r="O43" s="85"/>
      <ns0:c r="P43" s="85"/>
      <ns0:c r="Q43" s="85"/>
      <ns0:c r="R43" s="85"/>
      <ns0:c r="S43" s="85"/>
      <ns0:c r="T43" s="85"/>
      <ns0:c r="U43" s="85"/>
      <ns0:c r="V43" s="85"/>
      <ns0:c r="W43" s="85"/>
      <ns0:c r="X43" s="83"/>
      <ns0:c r="Y43" s="83"/>
    </ns0:row>
    <ns0:row r="44" spans="1:25" s="84" customFormat="1" ns2:dyDescent="0.2">
      <ns0:c r="C44" s="85"/>
      <ns0:c r="D44" s="85"/>
      <ns0:c r="E44" s="85"/>
      <ns0:c r="F44" s="85"/>
      <ns0:c r="G44" s="85"/>
      <ns0:c r="H44" s="85"/>
      <ns0:c r="I44" s="85"/>
      <ns0:c r="J44" s="85"/>
      <ns0:c r="K44" s="85"/>
      <ns0:c r="L44" s="85"/>
      <ns0:c r="M44" s="85"/>
      <ns0:c r="N44" s="85"/>
      <ns0:c r="O44" s="85"/>
      <ns0:c r="P44" s="85"/>
      <ns0:c r="Q44" s="85"/>
      <ns0:c r="R44" s="85"/>
      <ns0:c r="S44" s="85"/>
      <ns0:c r="T44" s="85"/>
      <ns0:c r="U44" s="85"/>
      <ns0:c r="V44" s="85"/>
      <ns0:c r="W44" s="85"/>
    </ns0:row>
    <ns0:row r="45" spans="1:25" s="84" customFormat="1" ns2:dyDescent="0.2">
      <ns0:c r="C45" s="85"/>
      <ns0:c r="D45" s="85"/>
      <ns0:c r="E45" s="85"/>
      <ns0:c r="F45" s="85"/>
      <ns0:c r="G45" s="85"/>
      <ns0:c r="H45" s="85"/>
      <ns0:c r="I45" s="85"/>
      <ns0:c r="J45" s="85"/>
      <ns0:c r="K45" s="85"/>
      <ns0:c r="L45" s="85"/>
      <ns0:c r="M45" s="85"/>
      <ns0:c r="N45" s="85"/>
      <ns0:c r="O45" s="85"/>
      <ns0:c r="P45" s="85"/>
      <ns0:c r="Q45" s="85"/>
      <ns0:c r="R45" s="85"/>
      <ns0:c r="S45" s="85"/>
      <ns0:c r="T45" s="85"/>
      <ns0:c r="U45" s="85"/>
      <ns0:c r="V45" s="85"/>
      <ns0:c r="W45" s="85"/>
    </ns0:row>
    <ns0:row r="46" spans="1:25" s="84" customFormat="1" ns2:dyDescent="0.2">
      <ns0:c r="C46" s="85" t="e">
        <ns0:f>NA()</ns0:f>
        <ns0:v>#N/A</ns0:v>
      </ns0:c>
      <ns0:c r="D46" s="85"/>
      <ns0:c r="E46" s="85"/>
      <ns0:c r="F46" s="85"/>
      <ns0:c r="G46" s="85"/>
      <ns0:c r="H46" s="85"/>
      <ns0:c r="I46" s="85"/>
      <ns0:c r="J46" s="85"/>
      <ns0:c r="K46" s="85"/>
      <ns0:c r="L46" s="85"/>
      <ns0:c r="M46" s="85"/>
      <ns0:c r="N46" s="85"/>
      <ns0:c r="O46" s="85"/>
      <ns0:c r="P46" s="85"/>
      <ns0:c r="Q46" s="85"/>
      <ns0:c r="R46" s="85"/>
      <ns0:c r="S46" s="85"/>
      <ns0:c r="T46" s="85"/>
      <ns0:c r="U46" s="85"/>
      <ns0:c r="V46" s="85"/>
      <ns0:c r="W46" s="85"/>
    </ns0:row>
    <ns0:row r="47" spans="1:25" s="84" customFormat="1" ns2:dyDescent="0.2">
      <ns0:c r="C47" s="155"/>
      <ns0:c r="D47" s="155"/>
      <ns0:c r="E47" s="85"/>
      <ns0:c r="F47" s="85"/>
      <ns0:c r="G47" s="85"/>
      <ns0:c r="H47" s="85"/>
      <ns0:c r="I47" s="85"/>
      <ns0:c r="J47" s="85"/>
      <ns0:c r="K47" s="85"/>
      <ns0:c r="L47" s="85"/>
      <ns0:c r="M47" s="85"/>
      <ns0:c r="N47" s="85"/>
      <ns0:c r="O47" s="85"/>
      <ns0:c r="P47" s="85"/>
      <ns0:c r="Q47" s="85"/>
      <ns0:c r="R47" s="85"/>
      <ns0:c r="S47" s="85"/>
      <ns0:c r="T47" s="85"/>
      <ns0:c r="U47" s="85"/>
      <ns0:c r="V47" s="85"/>
      <ns0:c r="W47" s="85"/>
    </ns0:row>
    <ns0:row r="48" spans="1:25" s="84" customFormat="1" ns2:dyDescent="0.2"/>
    <ns0:row r="49" s="84" customFormat="1" ns2:dyDescent="0.2"/>
    <ns0:row r="50" s="84" customFormat="1" ns2:dyDescent="0.2"/>
    <ns0:row r="51" s="84" customFormat="1" ns2:dyDescent="0.2"/>
    <ns0:row r="52" s="84" customFormat="1" ns2:dyDescent="0.2"/>
    <ns0:row r="53" s="84" customFormat="1" ns2:dyDescent="0.2"/>
    <ns0:row r="54" s="84" customFormat="1" ns2:dyDescent="0.2"/>
    <ns0:row r="55" s="84" customFormat="1" ns2:dyDescent="0.2"/>
    <ns0:row r="56" s="84" customFormat="1" ns2:dyDescent="0.2"/>
    <ns0:row r="57" s="84" customFormat="1" ns2:dyDescent="0.2"/>
    <ns0:row r="58" s="84" customFormat="1" ns2:dyDescent="0.2"/>
    <ns0:row r="59" s="86" customFormat="1" ns2:dyDescent="0.2"/>
    <ns0:row r="60" s="86" customFormat="1" ns2:dyDescent="0.2"/>
    <ns0:row r="61" s="86" customFormat="1" ns2:dyDescent="0.2"/>
    <ns0:row r="62" s="86" customFormat="1" ns2:dyDescent="0.2"/>
    <ns0:row r="63" s="86" customFormat="1" ns2:dyDescent="0.2"/>
    <ns0:row r="64" s="86" customFormat="1" ns2:dyDescent="0.2"/>
    <ns0:row r="65" s="86" customFormat="1" ns2:dyDescent="0.2"/>
    <ns0:row r="66" s="87" customFormat="1" ns2:dyDescent="0.2"/>
  </ns0:sheetData>
  <ns0:mergeCells count="26">
    <ns0:mergeCell ref="C47:D47"/>
    <ns0:mergeCell ref="Q12:Q13"/>
    <ns0:mergeCell ref="R12:R13"/>
    <ns0:mergeCell ref="S12:S13"/>
    <ns0:mergeCell ref="T12:T13"/>
    <ns0:mergeCell ref="B22:C22"/>
    <ns0:mergeCell ref="B23:C23"/>
    <ns0:mergeCell ref="A8:B8"/>
    <ns0:mergeCell ref="C8:N8"/>
    <ns0:mergeCell ref="A9:B9"/>
    <ns0:mergeCell ref="C9:N9"/>
    <ns0:mergeCell ref="A12:A29"/>
    <ns0:mergeCell ref="B12:C12"/>
    <ns0:mergeCell ref="D12:D13"/>
    <ns0:mergeCell ref="E12:H12"/>
    <ns0:mergeCell ref="I12:K12"/>
    <ns0:mergeCell ref="N12:P12"/>
    <ns0:mergeCell ref="B24:C24"/>
    <ns0:mergeCell ref="D24:AB28"/>
    <ns0:mergeCell ref="A7:B7"/>
    <ns0:mergeCell ref="C7:N7"/>
    <ns0:mergeCell ref="C1:L4"/>
    <ns0:mergeCell ref="M1:O2"/>
    <ns0:mergeCell ref="M3:O4"/>
    <ns0:mergeCell ref="A6:B6"/>
    <ns0:mergeCell ref="C6:N6"/>
  </ns0:mergeCells>
  <ns0:dataValidations count="7">
    <ns0:dataValidation type="list" allowBlank="1" showErrorMessage="1" sqref="P14:P21">
      <ns0:formula1>$J$31:$J$38</ns0:formula1>
      <ns0:formula2>0</ns0:formula2>
    </ns0:dataValidation>
    <ns0:dataValidation type="list" allowBlank="1" showErrorMessage="1" sqref="O14:O21">
      <ns0:formula1>$I$31:$I$34</ns0:formula1>
      <ns0:formula2>0</ns0:formula2>
    </ns0:dataValidation>
    <ns0:dataValidation type="list" allowBlank="1" showErrorMessage="1" sqref="N14:N21">
      <ns0:formula1>$H$31:$H$33</ns0:formula1>
      <ns0:formula2>0</ns0:formula2>
    </ns0:dataValidation>
    <ns0:dataValidation type="list" allowBlank="1" showErrorMessage="1" sqref="K14:K21">
      <ns0:formula1>$G$31:$G$34</ns0:formula1>
      <ns0:formula2>0</ns0:formula2>
    </ns0:dataValidation>
    <ns0:dataValidation type="list" allowBlank="1" showErrorMessage="1" sqref="I14:J21 L14:L21">
      <ns0:formula1>$F$31:$F$34</ns0:formula1>
      <ns0:formula2>0</ns0:formula2>
    </ns0:dataValidation>
    <ns0:dataValidation type="list" allowBlank="1" showErrorMessage="1" sqref="F14:H21">
      <ns0:formula1>$E$31:$E$35</ns0:formula1>
      <ns0:formula2>0</ns0:formula2>
    </ns0:dataValidation>
    <ns0:dataValidation type="list" allowBlank="1" showErrorMessage="1" sqref="E14:E21">
      <ns0:formula1>$D$31:$D$35</ns0:formula1>
      <ns0:formula2>0</ns0:formula2>
    </ns0:dataValidation>
  </ns0:dataValidations>
  <ns0:pageMargins left="0.74791666666666667" right="0.74791666666666667" top="0.98402777777777772" bottom="0.98402777777777772" header="0.51180555555555551" footer="0.51180555555555551"/>
  <ns0:pageSetup paperSize="9" firstPageNumber="0" orientation="portrait" horizontalDpi="300" verticalDpi="300"/>
  <ns0:headerFooter alignWithMargins="0"/>
  <ns0:legacyDrawing ns3:id="rId1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B1:Q35"/>
  <ns0:sheetViews>
    <ns0:sheetView workbookViewId="0">
      <ns0:selection activeCell="A3" sqref="A3"/>
    </ns0:sheetView>
  </ns0:sheetViews>
  <ns0:sheetFormatPr defaultRowHeight="12.75" ns2:dyDescent="0.2"/>
  <ns0:cols>
    <ns0:col min="1" max="1" width="1.140625" style="25" customWidth="1"/>
    <ns0:col min="2" max="2" width="14.7109375" style="25" customWidth="1"/>
    <ns0:col min="3" max="3" width="27.28515625" style="25" customWidth="1"/>
    <ns0:col min="4" max="4" width="16" style="25" customWidth="1"/>
    <ns0:col min="5" max="5" width="13" style="25" customWidth="1"/>
    <ns0:col min="6" max="6" width="14.7109375" style="25" customWidth="1"/>
    <ns0:col min="7" max="7" width="15.140625" style="25" customWidth="1"/>
    <ns0:col min="8" max="8" width="35" style="140" customWidth="1"/>
    <ns0:col min="9" max="17" width="9.140625" style="138"/>
    <ns0:col min="18" max="16384" width="9.140625" style="25"/>
  </ns0:cols>
  <ns0:sheetData>
    <ns0:row r="1" spans="2:17" s="88" customFormat="1" ht="12.75" customHeight="1" ns2:dyDescent="0.2">
      <ns0:c r="C1" s="162" t="s">
        <ns0:v>0</ns0:v>
      </ns0:c>
      <ns0:c r="D1" s="162"/>
      <ns0:c r="E1" s="162"/>
      <ns0:c r="F1" s="162"/>
      <ns0:c r="G1" s="162"/>
      <ns0:c r="H1" s="162"/>
      <ns0:c r="I1" s="162"/>
      <ns0:c r="J1" s="162"/>
      <ns0:c r="K1" s="162"/>
      <ns0:c r="L1" s="162"/>
      <ns0:c r="M1" s="163"/>
      <ns0:c r="N1" s="163"/>
      <ns0:c r="O1" s="163"/>
      <ns0:c r="P1" s="137"/>
      <ns0:c r="Q1" s="137"/>
    </ns0:row>
    <ns0:row r="2" spans="2:17" s="88" customFormat="1" ht="12.75" customHeight="1" ns2:dyDescent="0.2">
      <ns0:c r="C2" s="162"/>
      <ns0:c r="D2" s="162"/>
      <ns0:c r="E2" s="162"/>
      <ns0:c r="F2" s="162"/>
      <ns0:c r="G2" s="162"/>
      <ns0:c r="H2" s="162"/>
      <ns0:c r="I2" s="162"/>
      <ns0:c r="J2" s="162"/>
      <ns0:c r="K2" s="162"/>
      <ns0:c r="L2" s="162"/>
      <ns0:c r="M2" s="163"/>
      <ns0:c r="N2" s="163"/>
      <ns0:c r="O2" s="163"/>
      <ns0:c r="P2" s="137"/>
      <ns0:c r="Q2" s="137"/>
    </ns0:row>
    <ns0:row r="3" spans="2:17" s="88" customFormat="1" ht="12.75" customHeight="1" ns2:dyDescent="0.2">
      <ns0:c r="C3" s="162"/>
      <ns0:c r="D3" s="162"/>
      <ns0:c r="E3" s="162"/>
      <ns0:c r="F3" s="162"/>
      <ns0:c r="G3" s="162"/>
      <ns0:c r="H3" s="162"/>
      <ns0:c r="I3" s="162"/>
      <ns0:c r="J3" s="162"/>
      <ns0:c r="K3" s="162"/>
      <ns0:c r="L3" s="162"/>
      <ns0:c r="M3" s="163"/>
      <ns0:c r="N3" s="163"/>
      <ns0:c r="O3" s="163"/>
      <ns0:c r="P3" s="137"/>
      <ns0:c r="Q3" s="137"/>
    </ns0:row>
    <ns0:row r="4" spans="2:17" s="88" customFormat="1" ht="22.5" customHeight="1" ns2:dyDescent="0.2">
      <ns0:c r="C4" s="162"/>
      <ns0:c r="D4" s="162"/>
      <ns0:c r="E4" s="162"/>
      <ns0:c r="F4" s="162"/>
      <ns0:c r="G4" s="162"/>
      <ns0:c r="H4" s="162"/>
      <ns0:c r="I4" s="162"/>
      <ns0:c r="J4" s="162"/>
      <ns0:c r="K4" s="162"/>
      <ns0:c r="L4" s="162"/>
      <ns0:c r="M4" s="163"/>
      <ns0:c r="N4" s="163"/>
      <ns0:c r="O4" s="163"/>
      <ns0:c r="P4" s="137"/>
      <ns0:c r="Q4" s="137"/>
    </ns0:row>
    <ns0:row r="5" spans="2:17" ns2:dyDescent="0.2">
      <ns0:c r="B5" s="164"/>
      <ns0:c r="C5" s="164"/>
      <ns0:c r="D5" s="164"/>
      <ns0:c r="E5" s="164"/>
      <ns0:c r="F5" s="164"/>
      <ns0:c r="G5" s="164"/>
      <ns0:c r="K5" s="139"/>
      <ns0:c r="L5" s="139"/>
      <ns0:c r="M5" s="139"/>
      <ns0:c r="N5" s="139"/>
    </ns0:row>
    <ns0:row r="6" spans="2:17" ht="51" customHeight="1" ns2:dyDescent="0.2">
      <ns0:c r="B6" s="150" t="s">
        <ns0:v>5</ns0:v>
      </ns0:c>
      <ns0:c r="C6" s="150"/>
      <ns0:c r="D6" s="151" t="s">
        <ns0:v>15</ns0:v>
      </ns0:c>
      <ns0:c r="E6" s="151" t="s">
        <ns0:v>46</ns0:v>
      </ns0:c>
      <ns0:c r="F6" s="151"/>
      <ns0:c r="G6" s="159" t="s">
        <ns0:v>47</ns0:v>
      </ns0:c>
      <ns0:c r="K6" s="139"/>
      <ns0:c r="L6" s="139"/>
      <ns0:c r="M6" s="139"/>
      <ns0:c r="N6" s="139"/>
    </ns0:row>
    <ns0:row r="7" spans="2:17" ns2:dyDescent="0.2">
      <ns0:c r="B7" s="30" t="s">
        <ns0:v>16</ns0:v>
      </ns0:c>
      <ns0:c r="C7" s="31" t="s">
        <ns0:v>17</ns0:v>
      </ns0:c>
      <ns0:c r="D7" s="151"/>
      <ns0:c r="E7" s="32" t="s">
        <ns0:v>48</ns0:v>
      </ns0:c>
      <ns0:c r="F7" s="34" t="s">
        <ns0:v>49</ns0:v>
      </ns0:c>
      <ns0:c r="G7" s="159"/>
      <ns0:c r="K7" s="139"/>
      <ns0:c r="L7" s="139"/>
      <ns0:c r="M7" s="139"/>
      <ns0:c r="N7" s="139"/>
    </ns0:row>
    <ns0:row r="8" spans="2:17" ht="101.25" ns2:dyDescent="0.2">
      <ns0:c r="B8" s="40">
        <ns0:v>1</ns0:v>
      </ns0:c>
      <ns0:c r="C8" s="41" t="s">
        <ns0:v>205</ns0:v>
      </ns0:c>
      <ns0:c r="D8" s="90">
        <ns0:f>Estimativa!T14</ns0:f>
        <ns0:v>70.69</ns0:v>
      </ns0:c>
      <ns0:c r="E8" s="40" t="s">
        <ns0:v>53</ns0:v>
      </ns0:c>
      <ns0:c r="F8" s="44">
        <ns0:v>15</ns0:v>
      </ns0:c>
      <ns0:c r="G8" s="90">
        <ns0:f t="shared" ref="G8:G15" si="0">ROUND(D8-(D8*(F8/100)),0)</ns0:f>
        <ns0:v>60</ns0:v>
      </ns0:c>
      <ns0:c r="K8" s="139"/>
      <ns0:c r="L8" s="139"/>
      <ns0:c r="M8" s="139"/>
      <ns0:c r="N8" s="139"/>
    </ns0:row>
    <ns0:row r="9" spans="2:17" ns2:dyDescent="0.2">
      <ns0:c r="B9" s="52">
        <ns0:v>2</ns0:v>
      </ns0:c>
      <ns0:c r="C9" s="53" t="s">
        <ns0:v>206</ns0:v>
      </ns0:c>
      <ns0:c r="D9" s="90">
        <ns0:f>Estimativa!T15</ns0:f>
        <ns0:v>111.93</ns0:v>
      </ns0:c>
      <ns0:c r="E9" s="52" t="s">
        <ns0:v>53</ns0:v>
      </ns0:c>
      <ns0:c r="F9" s="56">
        <ns0:v>15</ns0:v>
      </ns0:c>
      <ns0:c r="G9" s="90">
        <ns0:f t="shared" si="0">ROUND(D9-(D9*(F9/100)),0)</ns0:f>
        <ns0:v>95</ns0:v>
      </ns0:c>
      <ns0:c r="K9" s="139"/>
      <ns0:c r="L9" s="139"/>
      <ns0:c r="M9" s="139"/>
      <ns0:c r="N9" s="139"/>
    </ns0:row>
    <ns0:row r="10" spans="2:17" ns2:dyDescent="0.2">
      <ns0:c r="B10" s="40">
        <ns0:v>3</ns0:v>
      </ns0:c>
      <ns0:c r="C10" s="46" t="s">
        <ns0:v>207</ns0:v>
      </ns0:c>
      <ns0:c r="D10" s="90">
        <ns0:f>Estimativa!T16</ns0:f>
        <ns0:v>198.98</ns0:v>
      </ns0:c>
      <ns0:c r="E10" s="40" t="s">
        <ns0:v>54</ns0:v>
      </ns0:c>
      <ns0:c r="F10" s="44">
        <ns0:v>25</ns0:v>
      </ns0:c>
      <ns0:c r="G10" s="90">
        <ns0:f t="shared" si="0">ROUND(D10-(D10*(F10/100)),0)</ns0:f>
        <ns0:v>149</ns0:v>
      </ns0:c>
      <ns0:c r="K10" s="139"/>
      <ns0:c r="L10" s="139"/>
      <ns0:c r="M10" s="139"/>
      <ns0:c r="N10" s="139"/>
    </ns0:row>
    <ns0:row r="11" spans="2:17" ns2:dyDescent="0.2">
      <ns0:c r="B11" s="52">
        <ns0:v>4</ns0:v>
      </ns0:c>
      <ns0:c r="C11" s="53" t="s">
        <ns0:v>208</ns0:v>
      </ns0:c>
      <ns0:c r="D11" s="90">
        <ns0:f>Estimativa!T17</ns0:f>
        <ns0:v>106.04</ns0:v>
      </ns0:c>
      <ns0:c r="E11" s="52" t="s">
        <ns0:v>53</ns0:v>
      </ns0:c>
      <ns0:c r="F11" s="56">
        <ns0:v>15</ns0:v>
      </ns0:c>
      <ns0:c r="G11" s="90">
        <ns0:f t="shared" si="0">ROUND(D11-(D11*(F11/100)),0)</ns0:f>
        <ns0:v>90</ns0:v>
      </ns0:c>
      <ns0:c r="K11" s="139"/>
      <ns0:c r="L11" s="139"/>
      <ns0:c r="M11" s="139"/>
      <ns0:c r="N11" s="139"/>
    </ns0:row>
    <ns0:row r="12" spans="2:17" ns2:dyDescent="0.2">
      <ns0:c r="B12" s="40">
        <ns0:v>5</ns0:v>
      </ns0:c>
      <ns0:c r="C12" s="46" t="s">
        <ns0:v>209</ns0:v>
      </ns0:c>
      <ns0:c r="D12" s="90">
        <ns0:f>Estimativa!T18</ns0:f>
        <ns0:v>194.4</ns0:v>
      </ns0:c>
      <ns0:c r="E12" s="40" t="s">
        <ns0:v>54</ns0:v>
      </ns0:c>
      <ns0:c r="F12" s="44">
        <ns0:v>25</ns0:v>
      </ns0:c>
      <ns0:c r="G12" s="90">
        <ns0:f t="shared" si="0">ROUND(D12-(D12*(F12/100)),0)</ns0:f>
        <ns0:v>146</ns0:v>
      </ns0:c>
      <ns0:c r="K12" s="139"/>
      <ns0:c r="L12" s="139"/>
      <ns0:c r="M12" s="139"/>
      <ns0:c r="N12" s="139"/>
    </ns0:row>
    <ns0:row r="13" spans="2:17" ns2:dyDescent="0.2">
      <ns0:c r="B13" s="52">
        <ns0:v>6</ns0:v>
      </ns0:c>
      <ns0:c r="C13" s="53" t="s">
        <ns0:v>210</ns0:v>
      </ns0:c>
      <ns0:c r="D13" s="90">
        <ns0:f>Estimativa!T19</ns0:f>
        <ns0:v>198.98</ns0:v>
      </ns0:c>
      <ns0:c r="E13" s="52" t="s">
        <ns0:v>54</ns0:v>
      </ns0:c>
      <ns0:c r="F13" s="56">
        <ns0:v>25</ns0:v>
      </ns0:c>
      <ns0:c r="G13" s="90">
        <ns0:f t="shared" si="0">ROUND(D13-(D13*(F13/100)),0)</ns0:f>
        <ns0:v>149</ns0:v>
      </ns0:c>
      <ns0:c r="K13" s="139"/>
      <ns0:c r="L13" s="139"/>
      <ns0:c r="M13" s="139"/>
      <ns0:c r="N13" s="139"/>
    </ns0:row>
    <ns0:row r="14" spans="2:17" ns2:dyDescent="0.2">
      <ns0:c r="B14" s="40">
        <ns0:v>7</ns0:v>
      </ns0:c>
      <ns0:c r="C14" s="46" t="s">
        <ns0:v>211</ns0:v>
      </ns0:c>
      <ns0:c r="D14" s="90">
        <ns0:f>Estimativa!T20</ns0:f>
        <ns0:v>117.82</ns0:v>
      </ns0:c>
      <ns0:c r="E14" s="40" t="s">
        <ns0:v>53</ns0:v>
      </ns0:c>
      <ns0:c r="F14" s="44">
        <ns0:v>15</ns0:v>
      </ns0:c>
      <ns0:c r="G14" s="90">
        <ns0:f t="shared" si="0">ROUND(D14-(D14*(F14/100)),0)</ns0:f>
        <ns0:v>100</ns0:v>
      </ns0:c>
      <ns0:c r="K14" s="139"/>
      <ns0:c r="L14" s="139"/>
      <ns0:c r="M14" s="139"/>
      <ns0:c r="N14" s="139"/>
    </ns0:row>
    <ns0:row r="15" spans="2:17" ns2:dyDescent="0.2">
      <ns0:c r="B15" s="52">
        <ns0:v>8</ns0:v>
      </ns0:c>
      <ns0:c r="C15" s="53" t="s">
        <ns0:v>212</ns0:v>
      </ns0:c>
      <ns0:c r="D15" s="90">
        <ns0:f>Estimativa!T21</ns0:f>
        <ns0:v>82.47</ns0:v>
      </ns0:c>
      <ns0:c r="E15" s="91" t="s">
        <ns0:v>54</ns0:v>
      </ns0:c>
      <ns0:c r="F15" s="92">
        <ns0:v>25</ns0:v>
      </ns0:c>
      <ns0:c r="G15" s="90">
        <ns0:f t="shared" si="0">ROUND(D15-(D15*(F15/100)),0)</ns0:f>
        <ns0:v>62</ns0:v>
      </ns0:c>
      <ns0:c r="K15" s="139"/>
      <ns0:c r="L15" s="139"/>
      <ns0:c r="M15" s="139"/>
      <ns0:c r="N15" s="139"/>
    </ns0:row>
    <ns0:row r="16" spans="2:17" ns2:dyDescent="0.2">
      <ns0:c r="B16" s="160" t="s">
        <ns0:v>29</ns0:v>
      </ns0:c>
      <ns0:c r="C16" s="160"/>
      <ns0:c r="D16" s="93">
        <ns0:f>SUM(D8:D15)</ns0:f>
        <ns0:v>1081.31</ns0:v>
      </ns0:c>
      <ns0:c r="E16" s="94"/>
      <ns0:c r="F16" s="95"/>
      <ns0:c r="G16" s="70">
        <ns0:f>SUM(G8:G15)</ns0:f>
        <ns0:v>851</ns0:v>
      </ns0:c>
      <ns0:c r="K16" s="139"/>
      <ns0:c r="L16" s="139"/>
      <ns0:c r="M16" s="139"/>
      <ns0:c r="N16" s="139"/>
    </ns0:row>
    <ns0:row r="17" spans="2:17" ns2:dyDescent="0.2">
      <ns0:c r="K17" s="139"/>
      <ns0:c r="L17" s="139"/>
      <ns0:c r="M17" s="139"/>
      <ns0:c r="N17" s="139"/>
    </ns0:row>
    <ns0:row r="18" spans="2:17" ht="12.95" customHeight="1" ns2:dyDescent="0.2">
      <ns0:c r="B18" s="153" t="s">
        <ns0:v>30</ns0:v>
      </ns0:c>
      <ns0:c r="C18" s="153"/>
      <ns0:c r="D18" s="96"/>
      <ns0:c r="E18" s="97"/>
      <ns0:c r="K18" s="139"/>
      <ns0:c r="L18" s="139"/>
      <ns0:c r="M18" s="139"/>
      <ns0:c r="N18" s="139"/>
    </ns0:row>
    <ns0:row r="19" spans="2:17" ns2:dyDescent="0.2">
      <ns0:c r="B19" s="73" t="s">
        <ns0:v>31</ns0:v>
      </ns0:c>
      <ns0:c r="C19" s="74">
        <ns0:f>Estimativa!R22</ns0:f>
        <ns0:v>270.33</ns0:v>
      </ns0:c>
      <ns0:c r="K19" s="139"/>
      <ns0:c r="L19" s="139"/>
      <ns0:c r="M19" s="139"/>
      <ns0:c r="N19" s="139"/>
    </ns0:row>
    <ns0:row r="20" spans="2:17" ns2:dyDescent="0.2">
      <ns0:c r="B20" s="75" t="s">
        <ns0:v>32</ns0:v>
      </ns0:c>
      <ns0:c r="C20" s="76">
        <ns0:f>Estimativa!Q22</ns0:f>
        <ns0:v>594.72</ns0:v>
      </ns0:c>
      <ns0:c r="K20" s="139"/>
      <ns0:c r="L20" s="139"/>
      <ns0:c r="M20" s="139"/>
      <ns0:c r="N20" s="139"/>
    </ns0:row>
    <ns0:row r="21" spans="2:17" ns2:dyDescent="0.2">
      <ns0:c r="B21" s="73" t="s">
        <ns0:v>33</ns0:v>
      </ns0:c>
      <ns0:c r="C21" s="74">
        <ns0:f>Estimativa!S22</ns0:f>
        <ns0:v>216.26</ns0:v>
      </ns0:c>
      <ns0:c r="K21" s="139"/>
      <ns0:c r="L21" s="139"/>
      <ns0:c r="M21" s="139"/>
      <ns0:c r="N21" s="139"/>
    </ns0:row>
    <ns0:row r="22" spans="2:17" ns2:dyDescent="0.2">
      <ns0:c r="B22" s="75" t="s">
        <ns0:v>34</ns0:v>
      </ns0:c>
      <ns0:c r="C22" s="76">
        <ns0:f>D16</ns0:f>
        <ns0:v>1081.31</ns0:v>
      </ns0:c>
      <ns0:c r="E22" s="98"/>
      <ns0:c r="K22" s="139"/>
      <ns0:c r="L22" s="139"/>
      <ns0:c r="M22" s="139"/>
      <ns0:c r="N22" s="139"/>
    </ns0:row>
    <ns0:row r="23" spans="2:17" ns2:dyDescent="0.2">
      <ns0:c r="B23" s="99" t="s">
        <ns0:v>51</ns0:v>
      </ns0:c>
      <ns0:c r="C23" s="78">
        <ns0:f>G16</ns0:f>
        <ns0:v>851</ns0:v>
      </ns0:c>
      <ns0:c r="K23" s="139"/>
      <ns0:c r="L23" s="139"/>
      <ns0:c r="M23" s="139"/>
      <ns0:c r="N23" s="139"/>
    </ns0:row>
    <ns0:row r="24" spans="2:17" ns2:dyDescent="0.2">
      <ns0:c r="K24" s="139"/>
      <ns0:c r="L24" s="139"/>
      <ns0:c r="M24" s="139"/>
      <ns0:c r="N24" s="139"/>
    </ns0:row>
    <ns0:row r="25" spans="2:17" ns2:dyDescent="0.2">
      <ns0:c r="B25" s="89"/>
      <ns0:c r="C25" s="89"/>
      <ns0:c r="D25" s="89"/>
      <ns0:c r="E25" s="89"/>
      <ns0:c r="F25" s="89"/>
      <ns0:c r="G25" s="89"/>
      <ns0:c r="H25" s="141"/>
      <ns0:c r="J25" s="139"/>
      <ns0:c r="K25" s="139"/>
      <ns0:c r="L25" s="139"/>
      <ns0:c r="M25" s="139"/>
    </ns0:row>
    <ns0:row r="26" spans="2:17" s="100" customFormat="1" ns2:dyDescent="0.2">
      <ns0:c r="B26" s="89"/>
      <ns0:c r="C26" s="89"/>
      <ns0:c r="D26" s="89"/>
      <ns0:c r="E26" s="89"/>
      <ns0:c r="F26" s="89"/>
      <ns0:c r="G26" s="89"/>
      <ns0:c r="H26" s="141"/>
      <ns0:c r="I26" s="139"/>
      <ns0:c r="J26" s="139"/>
      <ns0:c r="K26" s="139"/>
      <ns0:c r="L26" s="139"/>
      <ns0:c r="M26" s="139"/>
      <ns0:c r="N26" s="138"/>
      <ns0:c r="O26" s="138"/>
      <ns0:c r="P26" s="138"/>
      <ns0:c r="Q26" s="138"/>
    </ns0:row>
    <ns0:row r="27" spans="2:17" s="100" customFormat="1" ns2:dyDescent="0.2">
      <ns0:c r="B27" s="89"/>
      <ns0:c r="C27" s="89"/>
      <ns0:c r="D27" s="89" t="s">
        <ns0:v>52</ns0:v>
      </ns0:c>
      <ns0:c r="E27" s="89"/>
      <ns0:c r="F27" s="89"/>
      <ns0:c r="G27" s="89"/>
      <ns0:c r="H27" s="141"/>
      <ns0:c r="I27" s="139"/>
      <ns0:c r="J27" s="139"/>
      <ns0:c r="K27" s="139"/>
      <ns0:c r="L27" s="139"/>
      <ns0:c r="M27" s="139"/>
      <ns0:c r="N27" s="138"/>
      <ns0:c r="O27" s="138"/>
      <ns0:c r="P27" s="138"/>
      <ns0:c r="Q27" s="138"/>
    </ns0:row>
    <ns0:row r="28" spans="2:17" s="100" customFormat="1" ns2:dyDescent="0.2">
      <ns0:c r="B28" s="89"/>
      <ns0:c r="C28" s="89"/>
      <ns0:c r="D28" s="89" t="s">
        <ns0:v>50</ns0:v>
      </ns0:c>
      <ns0:c r="E28" s="89"/>
      <ns0:c r="F28" s="89"/>
      <ns0:c r="G28" s="89"/>
      <ns0:c r="H28" s="141"/>
      <ns0:c r="I28" s="139"/>
      <ns0:c r="J28" s="139"/>
      <ns0:c r="K28" s="139"/>
      <ns0:c r="L28" s="139"/>
      <ns0:c r="M28" s="139"/>
      <ns0:c r="N28" s="138"/>
      <ns0:c r="O28" s="138"/>
      <ns0:c r="P28" s="138"/>
      <ns0:c r="Q28" s="138"/>
    </ns0:row>
    <ns0:row r="29" spans="2:17" s="100" customFormat="1" ns2:dyDescent="0.2">
      <ns0:c r="B29" s="89"/>
      <ns0:c r="C29" s="89"/>
      <ns0:c r="D29" s="89" t="s">
        <ns0:v>53</ns0:v>
      </ns0:c>
      <ns0:c r="E29" s="89"/>
      <ns0:c r="F29" s="89"/>
      <ns0:c r="G29" s="89"/>
      <ns0:c r="H29" s="141"/>
      <ns0:c r="I29" s="139"/>
      <ns0:c r="J29" s="139"/>
      <ns0:c r="K29" s="139"/>
      <ns0:c r="L29" s="139"/>
      <ns0:c r="M29" s="139"/>
      <ns0:c r="N29" s="138"/>
      <ns0:c r="O29" s="138"/>
      <ns0:c r="P29" s="138"/>
      <ns0:c r="Q29" s="138"/>
    </ns0:row>
    <ns0:row r="30" spans="2:17" s="100" customFormat="1" ns2:dyDescent="0.2">
      <ns0:c r="B30" s="89"/>
      <ns0:c r="C30" s="89"/>
      <ns0:c r="D30" s="89" t="s">
        <ns0:v>54</ns0:v>
      </ns0:c>
      <ns0:c r="E30" s="89"/>
      <ns0:c r="F30" s="89"/>
      <ns0:c r="G30" s="89"/>
      <ns0:c r="H30" s="141"/>
      <ns0:c r="I30" s="139"/>
      <ns0:c r="J30" s="139"/>
      <ns0:c r="K30" s="139"/>
      <ns0:c r="L30" s="139"/>
      <ns0:c r="M30" s="139"/>
      <ns0:c r="N30" s="138"/>
      <ns0:c r="O30" s="138"/>
      <ns0:c r="P30" s="138"/>
      <ns0:c r="Q30" s="138"/>
    </ns0:row>
    <ns0:row r="31" spans="2:17" s="100" customFormat="1" ns2:dyDescent="0.2">
      <ns0:c r="B31" s="89"/>
      <ns0:c r="C31" s="89"/>
      <ns0:c r="D31" s="89"/>
      <ns0:c r="E31" s="89"/>
      <ns0:c r="F31" s="89"/>
      <ns0:c r="G31" s="89"/>
      <ns0:c r="H31" s="141"/>
      <ns0:c r="I31" s="139"/>
      <ns0:c r="J31" s="139"/>
      <ns0:c r="K31" s="139"/>
      <ns0:c r="L31" s="139"/>
      <ns0:c r="M31" s="139"/>
      <ns0:c r="N31" s="138"/>
      <ns0:c r="O31" s="138"/>
      <ns0:c r="P31" s="138"/>
      <ns0:c r="Q31" s="138"/>
    </ns0:row>
    <ns0:row r="32" spans="2:17" s="100" customFormat="1" ns2:dyDescent="0.2">
      <ns0:c r="B32" s="89"/>
      <ns0:c r="C32" s="89"/>
      <ns0:c r="D32" s="89"/>
      <ns0:c r="E32" s="89"/>
      <ns0:c r="F32" s="89"/>
      <ns0:c r="G32" s="89"/>
      <ns0:c r="H32" s="141"/>
      <ns0:c r="I32" s="139"/>
      <ns0:c r="J32" s="139"/>
      <ns0:c r="K32" s="139"/>
      <ns0:c r="L32" s="139"/>
      <ns0:c r="M32" s="139"/>
      <ns0:c r="N32" s="138"/>
      <ns0:c r="O32" s="138"/>
      <ns0:c r="P32" s="138"/>
      <ns0:c r="Q32" s="138"/>
    </ns0:row>
    <ns0:row r="33" spans="2:17" s="100" customFormat="1" ns2:dyDescent="0.2">
      <ns0:c r="B33" s="89"/>
      <ns0:c r="C33" s="89"/>
      <ns0:c r="D33" s="89"/>
      <ns0:c r="E33" s="89"/>
      <ns0:c r="F33" s="89"/>
      <ns0:c r="G33" s="89"/>
      <ns0:c r="H33" s="141"/>
      <ns0:c r="I33" s="139"/>
      <ns0:c r="J33" s="139"/>
      <ns0:c r="K33" s="139"/>
      <ns0:c r="L33" s="139"/>
      <ns0:c r="M33" s="139"/>
      <ns0:c r="N33" s="138"/>
      <ns0:c r="O33" s="138"/>
      <ns0:c r="P33" s="138"/>
      <ns0:c r="Q33" s="138"/>
    </ns0:row>
    <ns0:row r="34" spans="2:17" s="100" customFormat="1" ns2:dyDescent="0.2">
      <ns0:c r="H34" s="140"/>
      <ns0:c r="I34" s="138"/>
      <ns0:c r="J34" s="138"/>
      <ns0:c r="K34" s="138"/>
      <ns0:c r="L34" s="138"/>
      <ns0:c r="M34" s="138"/>
      <ns0:c r="N34" s="138"/>
      <ns0:c r="O34" s="138"/>
      <ns0:c r="P34" s="138"/>
      <ns0:c r="Q34" s="138"/>
    </ns0:row>
    <ns0:row r="35" spans="2:17" s="100" customFormat="1" ns2:dyDescent="0.2">
      <ns0:c r="H35" s="140"/>
      <ns0:c r="I35" s="138"/>
      <ns0:c r="J35" s="138"/>
      <ns0:c r="K35" s="138"/>
      <ns0:c r="L35" s="138"/>
      <ns0:c r="M35" s="138"/>
      <ns0:c r="N35" s="138"/>
      <ns0:c r="O35" s="138"/>
      <ns0:c r="P35" s="138"/>
      <ns0:c r="Q35" s="138"/>
    </ns0:row>
  </ns0:sheetData>
  <ns0:mergeCells count="10">
    <ns0:mergeCell ref="B16:C16"/>
    <ns0:mergeCell ref="B18:C18"/>
    <ns0:mergeCell ref="C1:L4"/>
    <ns0:mergeCell ref="M1:O2"/>
    <ns0:mergeCell ref="M3:O4"/>
    <ns0:mergeCell ref="B5:G5"/>
    <ns0:mergeCell ref="B6:C6"/>
    <ns0:mergeCell ref="D6:D7"/>
    <ns0:mergeCell ref="E6:F6"/>
    <ns0:mergeCell ref="G6:G7"/>
  </ns0:mergeCells>
  <ns0:dataValidations count="2">
    <ns0:dataValidation type="decimal" allowBlank="1" showErrorMessage="1" errorTitle="Dado Incorreto" error="O valor percentual para redução de esforço deve estar entre 0% e 100,00%" sqref="F8:F15">
      <ns0:formula1>0</ns0:formula1>
      <ns0:formula2>100</ns0:formula2>
    </ns0:dataValidation>
    <ns0:dataValidation type="list" allowBlank="1" showErrorMessage="1" sqref="E8:E15">
      <ns0:formula1>$D$28:$D$30</ns0:formula1>
      <ns0:formula2>0</ns0:formula2>
    </ns0:dataValidation>
  </ns0:dataValidations>
  <ns0:pageMargins left="0.74791666666666667" right="0.74791666666666667" top="0.98402777777777772" bottom="0.98402777777777772" header="0.51180555555555551" footer="0.51180555555555551"/>
  <ns0:pageSetup paperSize="9" firstPageNumber="0" orientation="portrait" horizontalDpi="300" verticalDpi="300"/>
  <ns0:headerFooter alignWithMargins="0"/>
  <ns0:legacyDrawing ns3:id="rId1"/>
</ns0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70"/>
  <sheetViews>
    <sheetView workbookViewId="0">
      <selection activeCell="C149" sqref="C149:J149"/>
    </sheetView>
  </sheetViews>
  <sheetFormatPr defaultRowHeight="12.75" x14ac:dyDescent="0.2"/>
  <cols>
    <col min="1" max="1" width="1.7109375" style="16" customWidth="1"/>
    <col min="2" max="2" width="29" style="16" customWidth="1"/>
    <col min="3" max="7" width="9.140625" style="16"/>
    <col min="8" max="8" width="10.5703125" style="16" customWidth="1"/>
    <col min="9" max="9" width="9.140625" style="16"/>
    <col min="10" max="10" width="15.28515625" style="16" customWidth="1"/>
    <col min="11" max="16384" width="9.140625" style="16"/>
  </cols>
  <sheetData>
    <row r="2" spans="2:10" ht="15" x14ac:dyDescent="0.2">
      <c r="B2" s="101" t="s">
        <v>55</v>
      </c>
    </row>
    <row r="4" spans="2:10" x14ac:dyDescent="0.2">
      <c r="B4" s="102" t="s">
        <v>56</v>
      </c>
    </row>
    <row r="5" spans="2:10" x14ac:dyDescent="0.2">
      <c r="B5" s="103" t="s">
        <v>57</v>
      </c>
    </row>
    <row r="6" spans="2:10" ht="15.75" customHeight="1" x14ac:dyDescent="0.2">
      <c r="B6" s="103" t="s">
        <v>58</v>
      </c>
    </row>
    <row r="7" spans="2:10" ht="6.75" customHeight="1" x14ac:dyDescent="0.2">
      <c r="B7" s="104"/>
    </row>
    <row r="8" spans="2:10" x14ac:dyDescent="0.2">
      <c r="B8" s="105" t="s">
        <v>59</v>
      </c>
    </row>
    <row r="9" spans="2:10" x14ac:dyDescent="0.2">
      <c r="B9" s="106"/>
      <c r="C9" s="107"/>
      <c r="D9" s="107"/>
      <c r="E9" s="107"/>
      <c r="F9" s="107"/>
      <c r="G9" s="107"/>
      <c r="H9" s="107"/>
      <c r="I9" s="107"/>
      <c r="J9" s="108"/>
    </row>
    <row r="10" spans="2:10" x14ac:dyDescent="0.2">
      <c r="B10" s="109" t="s">
        <v>2</v>
      </c>
      <c r="C10" s="171" t="s">
        <v>60</v>
      </c>
      <c r="D10" s="171"/>
      <c r="E10" s="171"/>
      <c r="F10" s="171"/>
      <c r="G10" s="171"/>
      <c r="H10" s="171"/>
      <c r="I10" s="171"/>
      <c r="J10" s="171"/>
    </row>
    <row r="11" spans="2:10" x14ac:dyDescent="0.2">
      <c r="B11" s="109"/>
      <c r="C11" s="110"/>
      <c r="D11" s="14"/>
      <c r="E11" s="14"/>
      <c r="F11" s="14"/>
      <c r="G11" s="14"/>
      <c r="H11" s="14"/>
      <c r="I11" s="14"/>
      <c r="J11" s="111"/>
    </row>
    <row r="12" spans="2:10" ht="12.75" customHeight="1" x14ac:dyDescent="0.2">
      <c r="B12" s="109" t="s">
        <v>3</v>
      </c>
      <c r="C12" s="171" t="s">
        <v>61</v>
      </c>
      <c r="D12" s="171"/>
      <c r="E12" s="171"/>
      <c r="F12" s="171"/>
      <c r="G12" s="171"/>
      <c r="H12" s="171"/>
      <c r="I12" s="171"/>
      <c r="J12" s="171"/>
    </row>
    <row r="13" spans="2:10" x14ac:dyDescent="0.2">
      <c r="B13" s="109"/>
      <c r="C13" s="110"/>
      <c r="D13" s="14"/>
      <c r="E13" s="14"/>
      <c r="F13" s="14"/>
      <c r="G13" s="14"/>
      <c r="H13" s="14"/>
      <c r="I13" s="14"/>
      <c r="J13" s="111"/>
    </row>
    <row r="14" spans="2:10" ht="12.75" customHeight="1" x14ac:dyDescent="0.2">
      <c r="B14" s="109" t="s">
        <v>62</v>
      </c>
      <c r="C14" s="171" t="s">
        <v>63</v>
      </c>
      <c r="D14" s="171"/>
      <c r="E14" s="171"/>
      <c r="F14" s="171"/>
      <c r="G14" s="171"/>
      <c r="H14" s="171"/>
      <c r="I14" s="171"/>
      <c r="J14" s="171"/>
    </row>
    <row r="15" spans="2:10" x14ac:dyDescent="0.2">
      <c r="B15" s="109"/>
      <c r="C15" s="110"/>
      <c r="D15" s="14"/>
      <c r="E15" s="14"/>
      <c r="F15" s="14"/>
      <c r="G15" s="14"/>
      <c r="H15" s="14"/>
      <c r="I15" s="14"/>
      <c r="J15" s="111"/>
    </row>
    <row r="16" spans="2:10" x14ac:dyDescent="0.2">
      <c r="B16" s="109" t="s">
        <v>64</v>
      </c>
      <c r="C16" s="172" t="s">
        <v>65</v>
      </c>
      <c r="D16" s="172"/>
      <c r="E16" s="172"/>
      <c r="F16" s="172"/>
      <c r="G16" s="172"/>
      <c r="H16" s="172"/>
      <c r="I16" s="172"/>
      <c r="J16" s="172"/>
    </row>
    <row r="17" spans="2:10" x14ac:dyDescent="0.2">
      <c r="B17" s="109"/>
      <c r="C17" s="166" t="s">
        <v>66</v>
      </c>
      <c r="D17" s="166"/>
      <c r="E17" s="166"/>
      <c r="F17" s="166"/>
      <c r="G17" s="166"/>
      <c r="H17" s="166"/>
      <c r="I17" s="166"/>
      <c r="J17" s="166"/>
    </row>
    <row r="18" spans="2:10" x14ac:dyDescent="0.2">
      <c r="B18" s="109"/>
      <c r="C18" s="112"/>
      <c r="D18" s="112"/>
      <c r="E18" s="112"/>
      <c r="F18" s="112"/>
      <c r="G18" s="112"/>
      <c r="H18" s="112"/>
      <c r="I18" s="112"/>
      <c r="J18" s="113"/>
    </row>
    <row r="19" spans="2:10" x14ac:dyDescent="0.2">
      <c r="B19" s="109" t="s">
        <v>67</v>
      </c>
      <c r="C19" s="172" t="s">
        <v>68</v>
      </c>
      <c r="D19" s="172"/>
      <c r="E19" s="172"/>
      <c r="F19" s="172"/>
      <c r="G19" s="172"/>
      <c r="H19" s="172"/>
      <c r="I19" s="172"/>
      <c r="J19" s="172"/>
    </row>
    <row r="20" spans="2:10" x14ac:dyDescent="0.2">
      <c r="B20" s="109"/>
      <c r="C20" s="165" t="s">
        <v>69</v>
      </c>
      <c r="D20" s="165"/>
      <c r="E20" s="165"/>
      <c r="F20" s="165"/>
      <c r="G20" s="165"/>
      <c r="H20" s="165"/>
      <c r="I20" s="165"/>
      <c r="J20" s="165"/>
    </row>
    <row r="21" spans="2:10" x14ac:dyDescent="0.2">
      <c r="B21" s="109"/>
      <c r="C21" s="165" t="s">
        <v>70</v>
      </c>
      <c r="D21" s="165"/>
      <c r="E21" s="165"/>
      <c r="F21" s="165"/>
      <c r="G21" s="165"/>
      <c r="H21" s="165"/>
      <c r="I21" s="165"/>
      <c r="J21" s="165"/>
    </row>
    <row r="22" spans="2:10" x14ac:dyDescent="0.2">
      <c r="B22" s="109"/>
      <c r="C22" s="166" t="s">
        <v>71</v>
      </c>
      <c r="D22" s="166"/>
      <c r="E22" s="166"/>
      <c r="F22" s="166"/>
      <c r="G22" s="166"/>
      <c r="H22" s="166"/>
      <c r="I22" s="166"/>
      <c r="J22" s="166"/>
    </row>
    <row r="23" spans="2:10" x14ac:dyDescent="0.2">
      <c r="B23" s="109"/>
      <c r="C23" s="14"/>
      <c r="D23" s="14"/>
      <c r="E23" s="14"/>
      <c r="F23" s="14"/>
      <c r="G23" s="14"/>
      <c r="H23" s="14"/>
      <c r="I23" s="14"/>
      <c r="J23" s="111"/>
    </row>
    <row r="24" spans="2:10" ht="12.75" customHeight="1" x14ac:dyDescent="0.2">
      <c r="B24" s="114" t="s">
        <v>72</v>
      </c>
      <c r="C24" s="167" t="s">
        <v>73</v>
      </c>
      <c r="D24" s="167"/>
      <c r="E24" s="167"/>
      <c r="F24" s="167"/>
      <c r="G24" s="167"/>
      <c r="H24" s="167"/>
      <c r="I24" s="167"/>
      <c r="J24" s="167"/>
    </row>
    <row r="25" spans="2:10" x14ac:dyDescent="0.2">
      <c r="B25" s="114"/>
      <c r="C25" s="168" t="s">
        <v>74</v>
      </c>
      <c r="D25" s="168"/>
      <c r="E25" s="168"/>
      <c r="F25" s="168"/>
      <c r="G25" s="168"/>
      <c r="H25" s="168"/>
      <c r="I25" s="168"/>
      <c r="J25" s="168"/>
    </row>
    <row r="26" spans="2:10" ht="24" customHeight="1" x14ac:dyDescent="0.2">
      <c r="B26" s="114"/>
      <c r="C26" s="169" t="s">
        <v>75</v>
      </c>
      <c r="D26" s="169"/>
      <c r="E26" s="169"/>
      <c r="F26" s="170" t="s">
        <v>76</v>
      </c>
      <c r="G26" s="170"/>
      <c r="H26" s="116" t="s">
        <v>77</v>
      </c>
      <c r="I26" s="14"/>
      <c r="J26" s="111"/>
    </row>
    <row r="27" spans="2:10" x14ac:dyDescent="0.2">
      <c r="B27" s="114"/>
      <c r="C27" s="174" t="s">
        <v>78</v>
      </c>
      <c r="D27" s="174"/>
      <c r="E27" s="174"/>
      <c r="F27" s="175" t="s">
        <v>79</v>
      </c>
      <c r="G27" s="175"/>
      <c r="H27" s="117">
        <v>2</v>
      </c>
      <c r="I27" s="14"/>
      <c r="J27" s="111"/>
    </row>
    <row r="28" spans="2:10" ht="12.75" customHeight="1" x14ac:dyDescent="0.2">
      <c r="B28" s="114"/>
      <c r="C28" s="176" t="s">
        <v>80</v>
      </c>
      <c r="D28" s="176"/>
      <c r="E28" s="176"/>
      <c r="F28" s="177" t="s">
        <v>81</v>
      </c>
      <c r="G28" s="177"/>
      <c r="H28" s="118">
        <v>3</v>
      </c>
      <c r="I28" s="14"/>
      <c r="J28" s="111"/>
    </row>
    <row r="29" spans="2:10" x14ac:dyDescent="0.2">
      <c r="B29" s="114"/>
      <c r="C29" s="178" t="s">
        <v>82</v>
      </c>
      <c r="D29" s="178"/>
      <c r="E29" s="178"/>
      <c r="F29" s="179" t="s">
        <v>83</v>
      </c>
      <c r="G29" s="179"/>
      <c r="H29" s="119">
        <v>4</v>
      </c>
      <c r="I29" s="14"/>
      <c r="J29" s="111"/>
    </row>
    <row r="30" spans="2:10" x14ac:dyDescent="0.2">
      <c r="B30" s="114"/>
      <c r="C30" s="14"/>
      <c r="D30" s="14"/>
      <c r="E30" s="14"/>
      <c r="F30" s="14"/>
      <c r="G30" s="14"/>
      <c r="H30" s="14"/>
      <c r="I30" s="14"/>
      <c r="J30" s="111"/>
    </row>
    <row r="31" spans="2:10" x14ac:dyDescent="0.2">
      <c r="B31" s="114"/>
      <c r="C31" s="167" t="s">
        <v>84</v>
      </c>
      <c r="D31" s="167"/>
      <c r="E31" s="167"/>
      <c r="F31" s="167"/>
      <c r="G31" s="167"/>
      <c r="H31" s="167"/>
      <c r="I31" s="167"/>
      <c r="J31" s="167"/>
    </row>
    <row r="32" spans="2:10" x14ac:dyDescent="0.2">
      <c r="B32" s="114"/>
      <c r="C32" s="173" t="s">
        <v>85</v>
      </c>
      <c r="D32" s="173"/>
      <c r="E32" s="173"/>
      <c r="F32" s="173"/>
      <c r="G32" s="173"/>
      <c r="H32" s="173"/>
      <c r="I32" s="173"/>
      <c r="J32" s="173"/>
    </row>
    <row r="33" spans="2:10" ht="12.95" customHeight="1" x14ac:dyDescent="0.2">
      <c r="B33" s="114"/>
      <c r="C33" s="169" t="s">
        <v>86</v>
      </c>
      <c r="D33" s="169"/>
      <c r="E33" s="169"/>
      <c r="F33" s="170" t="s">
        <v>76</v>
      </c>
      <c r="G33" s="170"/>
      <c r="H33" s="116" t="s">
        <v>77</v>
      </c>
      <c r="I33" s="14"/>
      <c r="J33" s="111"/>
    </row>
    <row r="34" spans="2:10" x14ac:dyDescent="0.2">
      <c r="B34" s="114"/>
      <c r="C34" s="174" t="s">
        <v>78</v>
      </c>
      <c r="D34" s="174"/>
      <c r="E34" s="174"/>
      <c r="F34" s="175" t="s">
        <v>79</v>
      </c>
      <c r="G34" s="175"/>
      <c r="H34" s="117">
        <v>1</v>
      </c>
      <c r="I34" s="14"/>
      <c r="J34" s="111"/>
    </row>
    <row r="35" spans="2:10" x14ac:dyDescent="0.2">
      <c r="B35" s="114"/>
      <c r="C35" s="176" t="s">
        <v>80</v>
      </c>
      <c r="D35" s="176"/>
      <c r="E35" s="176"/>
      <c r="F35" s="177" t="s">
        <v>81</v>
      </c>
      <c r="G35" s="177"/>
      <c r="H35" s="118">
        <v>2</v>
      </c>
      <c r="I35" s="14"/>
      <c r="J35" s="111"/>
    </row>
    <row r="36" spans="2:10" x14ac:dyDescent="0.2">
      <c r="B36" s="114"/>
      <c r="C36" s="178" t="s">
        <v>82</v>
      </c>
      <c r="D36" s="178"/>
      <c r="E36" s="178"/>
      <c r="F36" s="179" t="s">
        <v>83</v>
      </c>
      <c r="G36" s="179"/>
      <c r="H36" s="119">
        <v>3</v>
      </c>
      <c r="I36" s="14"/>
      <c r="J36" s="111"/>
    </row>
    <row r="37" spans="2:10" x14ac:dyDescent="0.2">
      <c r="B37" s="114"/>
      <c r="C37" s="14"/>
      <c r="D37" s="14"/>
      <c r="E37" s="14"/>
      <c r="F37" s="14"/>
      <c r="G37" s="14"/>
      <c r="H37" s="14"/>
      <c r="I37" s="14"/>
      <c r="J37" s="111"/>
    </row>
    <row r="38" spans="2:10" x14ac:dyDescent="0.2">
      <c r="B38" s="114"/>
      <c r="C38" s="167" t="s">
        <v>87</v>
      </c>
      <c r="D38" s="167"/>
      <c r="E38" s="167"/>
      <c r="F38" s="167"/>
      <c r="G38" s="167"/>
      <c r="H38" s="167"/>
      <c r="I38" s="167"/>
      <c r="J38" s="167"/>
    </row>
    <row r="39" spans="2:10" x14ac:dyDescent="0.2">
      <c r="B39" s="114"/>
      <c r="C39" s="173" t="s">
        <v>88</v>
      </c>
      <c r="D39" s="173"/>
      <c r="E39" s="173"/>
      <c r="F39" s="173"/>
      <c r="G39" s="173"/>
      <c r="H39" s="173"/>
      <c r="I39" s="173"/>
      <c r="J39" s="173"/>
    </row>
    <row r="40" spans="2:10" ht="12.95" customHeight="1" x14ac:dyDescent="0.2">
      <c r="B40" s="114"/>
      <c r="C40" s="169" t="s">
        <v>89</v>
      </c>
      <c r="D40" s="169"/>
      <c r="E40" s="169"/>
      <c r="F40" s="170" t="s">
        <v>76</v>
      </c>
      <c r="G40" s="170"/>
      <c r="H40" s="116" t="s">
        <v>77</v>
      </c>
      <c r="I40" s="14"/>
      <c r="J40" s="111"/>
    </row>
    <row r="41" spans="2:10" x14ac:dyDescent="0.2">
      <c r="B41" s="114"/>
      <c r="C41" s="174" t="s">
        <v>90</v>
      </c>
      <c r="D41" s="174"/>
      <c r="E41" s="174"/>
      <c r="F41" s="175" t="s">
        <v>79</v>
      </c>
      <c r="G41" s="175"/>
      <c r="H41" s="117">
        <v>1</v>
      </c>
      <c r="I41" s="14"/>
      <c r="J41" s="111"/>
    </row>
    <row r="42" spans="2:10" x14ac:dyDescent="0.2">
      <c r="B42" s="114"/>
      <c r="C42" s="176" t="s">
        <v>91</v>
      </c>
      <c r="D42" s="176"/>
      <c r="E42" s="176"/>
      <c r="F42" s="177" t="s">
        <v>81</v>
      </c>
      <c r="G42" s="177"/>
      <c r="H42" s="118">
        <v>2</v>
      </c>
      <c r="I42" s="14"/>
      <c r="J42" s="111"/>
    </row>
    <row r="43" spans="2:10" x14ac:dyDescent="0.2">
      <c r="B43" s="114"/>
      <c r="C43" s="178" t="s">
        <v>92</v>
      </c>
      <c r="D43" s="178"/>
      <c r="E43" s="178"/>
      <c r="F43" s="179" t="s">
        <v>83</v>
      </c>
      <c r="G43" s="179"/>
      <c r="H43" s="119">
        <v>3</v>
      </c>
      <c r="I43" s="14"/>
      <c r="J43" s="111"/>
    </row>
    <row r="44" spans="2:10" x14ac:dyDescent="0.2">
      <c r="B44" s="114"/>
      <c r="C44" s="14"/>
      <c r="D44" s="14"/>
      <c r="E44" s="14"/>
      <c r="F44" s="14"/>
      <c r="G44" s="14"/>
      <c r="H44" s="14"/>
      <c r="I44" s="14"/>
      <c r="J44" s="111"/>
    </row>
    <row r="45" spans="2:10" x14ac:dyDescent="0.2">
      <c r="B45" s="114"/>
      <c r="C45" s="167" t="s">
        <v>93</v>
      </c>
      <c r="D45" s="167"/>
      <c r="E45" s="167"/>
      <c r="F45" s="167"/>
      <c r="G45" s="167"/>
      <c r="H45" s="167"/>
      <c r="I45" s="167"/>
      <c r="J45" s="167"/>
    </row>
    <row r="46" spans="2:10" x14ac:dyDescent="0.2">
      <c r="B46" s="114"/>
      <c r="C46" s="173" t="s">
        <v>94</v>
      </c>
      <c r="D46" s="173"/>
      <c r="E46" s="173"/>
      <c r="F46" s="173"/>
      <c r="G46" s="173"/>
      <c r="H46" s="173"/>
      <c r="I46" s="173"/>
      <c r="J46" s="173"/>
    </row>
    <row r="47" spans="2:10" ht="12.95" customHeight="1" x14ac:dyDescent="0.2">
      <c r="B47" s="114"/>
      <c r="C47" s="169" t="s">
        <v>95</v>
      </c>
      <c r="D47" s="169"/>
      <c r="E47" s="169"/>
      <c r="F47" s="170" t="s">
        <v>76</v>
      </c>
      <c r="G47" s="170"/>
      <c r="H47" s="116" t="s">
        <v>77</v>
      </c>
      <c r="I47" s="14"/>
      <c r="J47" s="111"/>
    </row>
    <row r="48" spans="2:10" x14ac:dyDescent="0.2">
      <c r="B48" s="114"/>
      <c r="C48" s="174" t="s">
        <v>96</v>
      </c>
      <c r="D48" s="174"/>
      <c r="E48" s="174"/>
      <c r="F48" s="175" t="s">
        <v>79</v>
      </c>
      <c r="G48" s="175"/>
      <c r="H48" s="117">
        <v>1</v>
      </c>
      <c r="I48" s="14"/>
      <c r="J48" s="111"/>
    </row>
    <row r="49" spans="2:10" x14ac:dyDescent="0.2">
      <c r="B49" s="114"/>
      <c r="C49" s="176" t="s">
        <v>97</v>
      </c>
      <c r="D49" s="176"/>
      <c r="E49" s="176"/>
      <c r="F49" s="177" t="s">
        <v>81</v>
      </c>
      <c r="G49" s="177"/>
      <c r="H49" s="118">
        <v>2</v>
      </c>
      <c r="I49" s="14"/>
      <c r="J49" s="111"/>
    </row>
    <row r="50" spans="2:10" x14ac:dyDescent="0.2">
      <c r="B50" s="114"/>
      <c r="C50" s="178" t="s">
        <v>98</v>
      </c>
      <c r="D50" s="178"/>
      <c r="E50" s="178"/>
      <c r="F50" s="179" t="s">
        <v>83</v>
      </c>
      <c r="G50" s="179"/>
      <c r="H50" s="119">
        <v>3</v>
      </c>
      <c r="I50" s="14"/>
      <c r="J50" s="111"/>
    </row>
    <row r="51" spans="2:10" x14ac:dyDescent="0.2">
      <c r="B51" s="114"/>
      <c r="C51" s="14"/>
      <c r="D51" s="14"/>
      <c r="E51" s="14"/>
      <c r="F51" s="14"/>
      <c r="G51" s="14"/>
      <c r="H51" s="14"/>
      <c r="I51" s="14"/>
      <c r="J51" s="111"/>
    </row>
    <row r="52" spans="2:10" x14ac:dyDescent="0.2">
      <c r="B52" s="114" t="s">
        <v>8</v>
      </c>
      <c r="C52" s="167" t="s">
        <v>99</v>
      </c>
      <c r="D52" s="167"/>
      <c r="E52" s="167"/>
      <c r="F52" s="167"/>
      <c r="G52" s="167"/>
      <c r="H52" s="167"/>
      <c r="I52" s="167"/>
      <c r="J52" s="167"/>
    </row>
    <row r="53" spans="2:10" x14ac:dyDescent="0.2">
      <c r="B53" s="114"/>
      <c r="C53" s="168" t="s">
        <v>100</v>
      </c>
      <c r="D53" s="168"/>
      <c r="E53" s="168"/>
      <c r="F53" s="168"/>
      <c r="G53" s="168"/>
      <c r="H53" s="168"/>
      <c r="I53" s="168"/>
      <c r="J53" s="168"/>
    </row>
    <row r="54" spans="2:10" ht="12.95" customHeight="1" x14ac:dyDescent="0.2">
      <c r="B54" s="114"/>
      <c r="C54" s="169" t="s">
        <v>22</v>
      </c>
      <c r="D54" s="169"/>
      <c r="E54" s="169"/>
      <c r="F54" s="170" t="s">
        <v>76</v>
      </c>
      <c r="G54" s="170"/>
      <c r="H54" s="116" t="s">
        <v>77</v>
      </c>
      <c r="I54" s="14"/>
      <c r="J54" s="111"/>
    </row>
    <row r="55" spans="2:10" x14ac:dyDescent="0.2">
      <c r="B55" s="114"/>
      <c r="C55" s="174" t="s">
        <v>101</v>
      </c>
      <c r="D55" s="174"/>
      <c r="E55" s="174"/>
      <c r="F55" s="175" t="s">
        <v>79</v>
      </c>
      <c r="G55" s="175"/>
      <c r="H55" s="117">
        <v>1</v>
      </c>
      <c r="I55" s="14"/>
      <c r="J55" s="111"/>
    </row>
    <row r="56" spans="2:10" x14ac:dyDescent="0.2">
      <c r="B56" s="114"/>
      <c r="C56" s="176" t="s">
        <v>102</v>
      </c>
      <c r="D56" s="176"/>
      <c r="E56" s="176"/>
      <c r="F56" s="177" t="s">
        <v>81</v>
      </c>
      <c r="G56" s="177"/>
      <c r="H56" s="118">
        <v>2</v>
      </c>
      <c r="I56" s="14"/>
      <c r="J56" s="111"/>
    </row>
    <row r="57" spans="2:10" x14ac:dyDescent="0.2">
      <c r="B57" s="114"/>
      <c r="C57" s="174" t="s">
        <v>103</v>
      </c>
      <c r="D57" s="174"/>
      <c r="E57" s="174"/>
      <c r="F57" s="175" t="s">
        <v>81</v>
      </c>
      <c r="G57" s="175"/>
      <c r="H57" s="117">
        <v>2</v>
      </c>
      <c r="I57" s="14"/>
      <c r="J57" s="111"/>
    </row>
    <row r="58" spans="2:10" x14ac:dyDescent="0.2">
      <c r="B58" s="114"/>
      <c r="C58" s="180" t="s">
        <v>104</v>
      </c>
      <c r="D58" s="180"/>
      <c r="E58" s="180"/>
      <c r="F58" s="181" t="s">
        <v>83</v>
      </c>
      <c r="G58" s="181"/>
      <c r="H58" s="120">
        <v>3</v>
      </c>
      <c r="I58" s="14"/>
      <c r="J58" s="111"/>
    </row>
    <row r="59" spans="2:10" x14ac:dyDescent="0.2">
      <c r="B59" s="114"/>
      <c r="C59" s="14"/>
      <c r="D59" s="14"/>
      <c r="E59" s="14"/>
      <c r="F59" s="14"/>
      <c r="G59" s="14"/>
      <c r="H59" s="14"/>
      <c r="I59" s="14"/>
      <c r="J59" s="111"/>
    </row>
    <row r="60" spans="2:10" x14ac:dyDescent="0.2">
      <c r="B60" s="114"/>
      <c r="C60" s="167" t="s">
        <v>105</v>
      </c>
      <c r="D60" s="167"/>
      <c r="E60" s="167"/>
      <c r="F60" s="167"/>
      <c r="G60" s="167"/>
      <c r="H60" s="167"/>
      <c r="I60" s="167"/>
      <c r="J60" s="167"/>
    </row>
    <row r="61" spans="2:10" x14ac:dyDescent="0.2">
      <c r="B61" s="114"/>
      <c r="C61" s="173" t="s">
        <v>106</v>
      </c>
      <c r="D61" s="173"/>
      <c r="E61" s="173"/>
      <c r="F61" s="173"/>
      <c r="G61" s="173"/>
      <c r="H61" s="173"/>
      <c r="I61" s="173"/>
      <c r="J61" s="173"/>
    </row>
    <row r="62" spans="2:10" ht="12.95" customHeight="1" x14ac:dyDescent="0.2">
      <c r="B62" s="114"/>
      <c r="C62" s="169" t="s">
        <v>23</v>
      </c>
      <c r="D62" s="169"/>
      <c r="E62" s="169"/>
      <c r="F62" s="169"/>
      <c r="G62" s="169"/>
      <c r="H62" s="115" t="s">
        <v>76</v>
      </c>
      <c r="I62" s="116" t="s">
        <v>77</v>
      </c>
      <c r="J62" s="111"/>
    </row>
    <row r="63" spans="2:10" x14ac:dyDescent="0.2">
      <c r="B63" s="114"/>
      <c r="C63" s="174" t="s">
        <v>107</v>
      </c>
      <c r="D63" s="174"/>
      <c r="E63" s="174"/>
      <c r="F63" s="174"/>
      <c r="G63" s="174"/>
      <c r="H63" s="121" t="s">
        <v>79</v>
      </c>
      <c r="I63" s="117">
        <v>1</v>
      </c>
      <c r="J63" s="111"/>
    </row>
    <row r="64" spans="2:10" x14ac:dyDescent="0.2">
      <c r="B64" s="114"/>
      <c r="C64" s="176" t="s">
        <v>108</v>
      </c>
      <c r="D64" s="176"/>
      <c r="E64" s="176"/>
      <c r="F64" s="176"/>
      <c r="G64" s="176"/>
      <c r="H64" s="122" t="s">
        <v>81</v>
      </c>
      <c r="I64" s="118">
        <v>2</v>
      </c>
      <c r="J64" s="111"/>
    </row>
    <row r="65" spans="2:10" x14ac:dyDescent="0.2">
      <c r="B65" s="114"/>
      <c r="C65" s="174" t="s">
        <v>109</v>
      </c>
      <c r="D65" s="174"/>
      <c r="E65" s="174"/>
      <c r="F65" s="174"/>
      <c r="G65" s="174"/>
      <c r="H65" s="121" t="s">
        <v>81</v>
      </c>
      <c r="I65" s="117">
        <v>2</v>
      </c>
      <c r="J65" s="111"/>
    </row>
    <row r="66" spans="2:10" x14ac:dyDescent="0.2">
      <c r="B66" s="114"/>
      <c r="C66" s="182" t="s">
        <v>110</v>
      </c>
      <c r="D66" s="182"/>
      <c r="E66" s="182"/>
      <c r="F66" s="182"/>
      <c r="G66" s="182"/>
      <c r="H66" s="123" t="s">
        <v>83</v>
      </c>
      <c r="I66" s="124">
        <v>3</v>
      </c>
      <c r="J66" s="111"/>
    </row>
    <row r="67" spans="2:10" x14ac:dyDescent="0.2">
      <c r="B67" s="114"/>
      <c r="C67" s="14"/>
      <c r="D67" s="14"/>
      <c r="E67" s="14"/>
      <c r="F67" s="14"/>
      <c r="G67" s="14"/>
      <c r="H67" s="14"/>
      <c r="I67" s="14"/>
      <c r="J67" s="111"/>
    </row>
    <row r="68" spans="2:10" x14ac:dyDescent="0.2">
      <c r="B68" s="114"/>
      <c r="C68" s="183" t="s">
        <v>111</v>
      </c>
      <c r="D68" s="183"/>
      <c r="E68" s="183"/>
      <c r="F68" s="183"/>
      <c r="G68" s="183"/>
      <c r="H68" s="183"/>
      <c r="I68" s="183"/>
      <c r="J68" s="183"/>
    </row>
    <row r="69" spans="2:10" x14ac:dyDescent="0.2">
      <c r="B69" s="114"/>
      <c r="C69" s="173" t="s">
        <v>112</v>
      </c>
      <c r="D69" s="173"/>
      <c r="E69" s="173"/>
      <c r="F69" s="173"/>
      <c r="G69" s="173"/>
      <c r="H69" s="173"/>
      <c r="I69" s="173"/>
      <c r="J69" s="173"/>
    </row>
    <row r="70" spans="2:10" x14ac:dyDescent="0.2">
      <c r="B70" s="114"/>
      <c r="C70" s="173" t="s">
        <v>113</v>
      </c>
      <c r="D70" s="173"/>
      <c r="E70" s="173"/>
      <c r="F70" s="173"/>
      <c r="G70" s="173"/>
      <c r="H70" s="173"/>
      <c r="I70" s="173"/>
      <c r="J70" s="173"/>
    </row>
    <row r="71" spans="2:10" x14ac:dyDescent="0.2">
      <c r="B71" s="114"/>
      <c r="C71" s="173" t="s">
        <v>114</v>
      </c>
      <c r="D71" s="173"/>
      <c r="E71" s="173"/>
      <c r="F71" s="173"/>
      <c r="G71" s="173"/>
      <c r="H71" s="173"/>
      <c r="I71" s="173"/>
      <c r="J71" s="173"/>
    </row>
    <row r="72" spans="2:10" ht="14.25" customHeight="1" x14ac:dyDescent="0.2">
      <c r="B72" s="114"/>
      <c r="C72" s="169" t="s">
        <v>17</v>
      </c>
      <c r="D72" s="169"/>
      <c r="E72" s="169"/>
      <c r="F72" s="170" t="s">
        <v>76</v>
      </c>
      <c r="G72" s="170"/>
      <c r="H72" s="116" t="s">
        <v>77</v>
      </c>
      <c r="I72" s="14"/>
      <c r="J72" s="111"/>
    </row>
    <row r="73" spans="2:10" x14ac:dyDescent="0.2">
      <c r="B73" s="114"/>
      <c r="C73" s="174" t="s">
        <v>115</v>
      </c>
      <c r="D73" s="174"/>
      <c r="E73" s="174"/>
      <c r="F73" s="175" t="s">
        <v>116</v>
      </c>
      <c r="G73" s="175"/>
      <c r="H73" s="117">
        <v>0</v>
      </c>
      <c r="I73" s="14"/>
      <c r="J73" s="111"/>
    </row>
    <row r="74" spans="2:10" x14ac:dyDescent="0.2">
      <c r="B74" s="114"/>
      <c r="C74" s="176" t="s">
        <v>117</v>
      </c>
      <c r="D74" s="176"/>
      <c r="E74" s="176"/>
      <c r="F74" s="177" t="s">
        <v>81</v>
      </c>
      <c r="G74" s="177"/>
      <c r="H74" s="118">
        <v>2</v>
      </c>
      <c r="I74" s="14"/>
      <c r="J74" s="111"/>
    </row>
    <row r="75" spans="2:10" x14ac:dyDescent="0.2">
      <c r="B75" s="114"/>
      <c r="C75" s="178" t="s">
        <v>118</v>
      </c>
      <c r="D75" s="178"/>
      <c r="E75" s="178"/>
      <c r="F75" s="179" t="s">
        <v>83</v>
      </c>
      <c r="G75" s="179"/>
      <c r="H75" s="119">
        <v>3</v>
      </c>
      <c r="I75" s="14"/>
      <c r="J75" s="111"/>
    </row>
    <row r="76" spans="2:10" x14ac:dyDescent="0.2">
      <c r="B76" s="114"/>
      <c r="C76" s="14"/>
      <c r="D76" s="14"/>
      <c r="E76" s="14"/>
      <c r="F76" s="14"/>
      <c r="G76" s="14"/>
      <c r="H76" s="14"/>
      <c r="I76" s="14"/>
      <c r="J76" s="111"/>
    </row>
    <row r="77" spans="2:10" x14ac:dyDescent="0.2">
      <c r="B77" s="114" t="s">
        <v>119</v>
      </c>
      <c r="C77" s="183" t="s">
        <v>120</v>
      </c>
      <c r="D77" s="183"/>
      <c r="E77" s="183"/>
      <c r="F77" s="183"/>
      <c r="G77" s="183"/>
      <c r="H77" s="183"/>
      <c r="I77" s="183"/>
      <c r="J77" s="183"/>
    </row>
    <row r="78" spans="2:10" x14ac:dyDescent="0.2">
      <c r="B78" s="114"/>
      <c r="C78" s="173" t="s">
        <v>121</v>
      </c>
      <c r="D78" s="173"/>
      <c r="E78" s="173"/>
      <c r="F78" s="173"/>
      <c r="G78" s="173"/>
      <c r="H78" s="173"/>
      <c r="I78" s="173"/>
      <c r="J78" s="173"/>
    </row>
    <row r="79" spans="2:10" ht="14.25" customHeight="1" x14ac:dyDescent="0.2">
      <c r="B79" s="114"/>
      <c r="C79" s="169" t="s">
        <v>122</v>
      </c>
      <c r="D79" s="169"/>
      <c r="E79" s="169"/>
      <c r="F79" s="170" t="s">
        <v>76</v>
      </c>
      <c r="G79" s="170"/>
      <c r="H79" s="116" t="s">
        <v>77</v>
      </c>
      <c r="I79" s="14"/>
      <c r="J79" s="111"/>
    </row>
    <row r="80" spans="2:10" x14ac:dyDescent="0.2">
      <c r="B80" s="114"/>
      <c r="C80" s="174" t="s">
        <v>123</v>
      </c>
      <c r="D80" s="174"/>
      <c r="E80" s="174"/>
      <c r="F80" s="175" t="s">
        <v>79</v>
      </c>
      <c r="G80" s="175"/>
      <c r="H80" s="117">
        <v>1</v>
      </c>
      <c r="I80" s="14"/>
      <c r="J80" s="111"/>
    </row>
    <row r="81" spans="2:10" x14ac:dyDescent="0.2">
      <c r="B81" s="114"/>
      <c r="C81" s="176" t="s">
        <v>124</v>
      </c>
      <c r="D81" s="176"/>
      <c r="E81" s="176"/>
      <c r="F81" s="177" t="s">
        <v>81</v>
      </c>
      <c r="G81" s="177"/>
      <c r="H81" s="118">
        <v>2</v>
      </c>
      <c r="I81" s="14"/>
      <c r="J81" s="111"/>
    </row>
    <row r="82" spans="2:10" x14ac:dyDescent="0.2">
      <c r="B82" s="114"/>
      <c r="C82" s="174" t="s">
        <v>125</v>
      </c>
      <c r="D82" s="174"/>
      <c r="E82" s="174"/>
      <c r="F82" s="175" t="s">
        <v>81</v>
      </c>
      <c r="G82" s="175"/>
      <c r="H82" s="117">
        <v>2</v>
      </c>
      <c r="I82" s="14"/>
      <c r="J82" s="111"/>
    </row>
    <row r="83" spans="2:10" x14ac:dyDescent="0.2">
      <c r="B83" s="114"/>
      <c r="C83" s="180" t="s">
        <v>126</v>
      </c>
      <c r="D83" s="180"/>
      <c r="E83" s="180"/>
      <c r="F83" s="181" t="s">
        <v>83</v>
      </c>
      <c r="G83" s="181"/>
      <c r="H83" s="120">
        <v>3</v>
      </c>
      <c r="I83" s="14"/>
      <c r="J83" s="111"/>
    </row>
    <row r="84" spans="2:10" x14ac:dyDescent="0.2">
      <c r="B84" s="114"/>
      <c r="C84" s="14"/>
      <c r="D84" s="14"/>
      <c r="E84" s="14"/>
      <c r="F84" s="14"/>
      <c r="G84" s="14"/>
      <c r="H84" s="14"/>
      <c r="I84" s="14"/>
      <c r="J84" s="111"/>
    </row>
    <row r="85" spans="2:10" x14ac:dyDescent="0.2">
      <c r="B85" s="114" t="s">
        <v>127</v>
      </c>
      <c r="C85" s="183" t="s">
        <v>128</v>
      </c>
      <c r="D85" s="183"/>
      <c r="E85" s="183"/>
      <c r="F85" s="183"/>
      <c r="G85" s="183"/>
      <c r="H85" s="183"/>
      <c r="I85" s="183"/>
      <c r="J85" s="183"/>
    </row>
    <row r="86" spans="2:10" x14ac:dyDescent="0.2">
      <c r="B86" s="114"/>
      <c r="C86" s="173" t="s">
        <v>129</v>
      </c>
      <c r="D86" s="173"/>
      <c r="E86" s="173"/>
      <c r="F86" s="173"/>
      <c r="G86" s="173"/>
      <c r="H86" s="173"/>
      <c r="I86" s="173"/>
      <c r="J86" s="173"/>
    </row>
    <row r="87" spans="2:10" x14ac:dyDescent="0.2">
      <c r="B87" s="114"/>
      <c r="C87" s="14"/>
      <c r="D87" s="14"/>
      <c r="E87" s="14"/>
      <c r="F87" s="14"/>
      <c r="G87" s="14"/>
      <c r="H87" s="14"/>
      <c r="I87" s="14"/>
      <c r="J87" s="111"/>
    </row>
    <row r="88" spans="2:10" x14ac:dyDescent="0.2">
      <c r="B88" s="114" t="s">
        <v>130</v>
      </c>
      <c r="C88" s="184" t="s">
        <v>131</v>
      </c>
      <c r="D88" s="184"/>
      <c r="E88" s="184"/>
      <c r="F88" s="184"/>
      <c r="G88" s="184"/>
      <c r="H88" s="184"/>
      <c r="I88" s="184"/>
      <c r="J88" s="184"/>
    </row>
    <row r="89" spans="2:10" x14ac:dyDescent="0.2">
      <c r="B89" s="114"/>
      <c r="C89" s="125" t="s">
        <v>132</v>
      </c>
      <c r="D89" s="14"/>
      <c r="E89" s="14"/>
      <c r="F89" s="14"/>
      <c r="G89" s="14"/>
      <c r="H89" s="14"/>
      <c r="I89" s="14"/>
      <c r="J89" s="111"/>
    </row>
    <row r="90" spans="2:10" x14ac:dyDescent="0.2">
      <c r="B90" s="114"/>
      <c r="C90" s="125" t="s">
        <v>133</v>
      </c>
      <c r="D90" s="14"/>
      <c r="E90" s="14"/>
      <c r="F90" s="14"/>
      <c r="G90" s="14"/>
      <c r="H90" s="14"/>
      <c r="I90" s="14"/>
      <c r="J90" s="111"/>
    </row>
    <row r="91" spans="2:10" ht="12.95" customHeight="1" x14ac:dyDescent="0.2">
      <c r="B91" s="114"/>
      <c r="C91" s="169" t="s">
        <v>17</v>
      </c>
      <c r="D91" s="169"/>
      <c r="E91" s="169"/>
      <c r="F91" s="116" t="s">
        <v>134</v>
      </c>
      <c r="G91" s="126"/>
      <c r="H91" s="126"/>
      <c r="I91" s="14"/>
      <c r="J91" s="111"/>
    </row>
    <row r="92" spans="2:10" x14ac:dyDescent="0.2">
      <c r="B92" s="114"/>
      <c r="C92" s="174" t="s">
        <v>135</v>
      </c>
      <c r="D92" s="174"/>
      <c r="E92" s="174"/>
      <c r="F92" s="117">
        <v>1</v>
      </c>
      <c r="G92" s="126"/>
      <c r="H92" s="127"/>
      <c r="I92" s="14"/>
      <c r="J92" s="111"/>
    </row>
    <row r="93" spans="2:10" x14ac:dyDescent="0.2">
      <c r="B93" s="114"/>
      <c r="C93" s="182" t="s">
        <v>136</v>
      </c>
      <c r="D93" s="182"/>
      <c r="E93" s="182"/>
      <c r="F93" s="124">
        <v>1.2</v>
      </c>
      <c r="G93" s="126"/>
      <c r="H93" s="127"/>
      <c r="I93" s="14"/>
      <c r="J93" s="111"/>
    </row>
    <row r="94" spans="2:10" x14ac:dyDescent="0.2">
      <c r="B94" s="114"/>
      <c r="C94" s="14"/>
      <c r="D94" s="14"/>
      <c r="E94" s="14"/>
      <c r="F94" s="14"/>
      <c r="G94" s="14"/>
      <c r="H94" s="14"/>
      <c r="I94" s="14"/>
      <c r="J94" s="111"/>
    </row>
    <row r="95" spans="2:10" x14ac:dyDescent="0.2">
      <c r="B95" s="114"/>
      <c r="C95" s="184" t="s">
        <v>137</v>
      </c>
      <c r="D95" s="184"/>
      <c r="E95" s="184"/>
      <c r="F95" s="184"/>
      <c r="G95" s="184"/>
      <c r="H95" s="184"/>
      <c r="I95" s="184"/>
      <c r="J95" s="184"/>
    </row>
    <row r="96" spans="2:10" x14ac:dyDescent="0.2">
      <c r="B96" s="114"/>
      <c r="C96" s="125" t="s">
        <v>138</v>
      </c>
      <c r="D96" s="14"/>
      <c r="E96" s="14"/>
      <c r="F96" s="14"/>
      <c r="G96" s="14"/>
      <c r="H96" s="14"/>
      <c r="I96" s="14"/>
      <c r="J96" s="111"/>
    </row>
    <row r="97" spans="2:10" x14ac:dyDescent="0.2">
      <c r="B97" s="114"/>
      <c r="C97" s="125" t="s">
        <v>139</v>
      </c>
      <c r="D97" s="14"/>
      <c r="E97" s="14"/>
      <c r="F97" s="14"/>
      <c r="G97" s="14"/>
      <c r="H97" s="14"/>
      <c r="I97" s="14"/>
      <c r="J97" s="111"/>
    </row>
    <row r="98" spans="2:10" x14ac:dyDescent="0.2">
      <c r="B98" s="114"/>
      <c r="C98" s="125" t="s">
        <v>133</v>
      </c>
      <c r="D98" s="14"/>
      <c r="E98" s="14"/>
      <c r="F98" s="14"/>
      <c r="G98" s="14"/>
      <c r="H98" s="14"/>
      <c r="I98" s="14"/>
      <c r="J98" s="111"/>
    </row>
    <row r="99" spans="2:10" ht="14.25" customHeight="1" x14ac:dyDescent="0.2">
      <c r="B99" s="114"/>
      <c r="C99" s="169" t="s">
        <v>40</v>
      </c>
      <c r="D99" s="169"/>
      <c r="E99" s="169"/>
      <c r="F99" s="170" t="s">
        <v>76</v>
      </c>
      <c r="G99" s="170" t="s">
        <v>76</v>
      </c>
      <c r="H99" s="170"/>
      <c r="I99" s="116" t="s">
        <v>134</v>
      </c>
      <c r="J99" s="111"/>
    </row>
    <row r="100" spans="2:10" x14ac:dyDescent="0.2">
      <c r="B100" s="114"/>
      <c r="C100" s="174" t="s">
        <v>140</v>
      </c>
      <c r="D100" s="174"/>
      <c r="E100" s="174"/>
      <c r="F100" s="186" t="s">
        <v>141</v>
      </c>
      <c r="G100" s="186"/>
      <c r="H100" s="186"/>
      <c r="I100" s="117">
        <v>1</v>
      </c>
      <c r="J100" s="111"/>
    </row>
    <row r="101" spans="2:10" x14ac:dyDescent="0.2">
      <c r="B101" s="114"/>
      <c r="C101" s="176" t="s">
        <v>142</v>
      </c>
      <c r="D101" s="176"/>
      <c r="E101" s="176"/>
      <c r="F101" s="187" t="s">
        <v>143</v>
      </c>
      <c r="G101" s="187"/>
      <c r="H101" s="187"/>
      <c r="I101" s="118">
        <v>0.75</v>
      </c>
      <c r="J101" s="111"/>
    </row>
    <row r="102" spans="2:10" x14ac:dyDescent="0.2">
      <c r="B102" s="114"/>
      <c r="C102" s="178" t="s">
        <v>144</v>
      </c>
      <c r="D102" s="178"/>
      <c r="E102" s="178"/>
      <c r="F102" s="185" t="s">
        <v>145</v>
      </c>
      <c r="G102" s="185"/>
      <c r="H102" s="185"/>
      <c r="I102" s="119">
        <v>0.5</v>
      </c>
      <c r="J102" s="111"/>
    </row>
    <row r="103" spans="2:10" x14ac:dyDescent="0.2">
      <c r="B103" s="114"/>
      <c r="C103" s="14"/>
      <c r="D103" s="14"/>
      <c r="E103" s="14"/>
      <c r="F103" s="14"/>
      <c r="G103" s="14"/>
      <c r="H103" s="14"/>
      <c r="I103" s="14"/>
      <c r="J103" s="111"/>
    </row>
    <row r="104" spans="2:10" x14ac:dyDescent="0.2">
      <c r="B104" s="114"/>
      <c r="C104" s="184" t="s">
        <v>146</v>
      </c>
      <c r="D104" s="184"/>
      <c r="E104" s="184"/>
      <c r="F104" s="184"/>
      <c r="G104" s="184"/>
      <c r="H104" s="184"/>
      <c r="I104" s="184"/>
      <c r="J104" s="184"/>
    </row>
    <row r="105" spans="2:10" x14ac:dyDescent="0.2">
      <c r="B105" s="114"/>
      <c r="C105" s="125" t="s">
        <v>147</v>
      </c>
      <c r="D105" s="14"/>
      <c r="E105" s="14"/>
      <c r="F105" s="14"/>
      <c r="G105" s="14"/>
      <c r="H105" s="14"/>
      <c r="I105" s="14"/>
      <c r="J105" s="111"/>
    </row>
    <row r="106" spans="2:10" x14ac:dyDescent="0.2">
      <c r="B106" s="114"/>
      <c r="C106" s="125" t="s">
        <v>148</v>
      </c>
      <c r="D106" s="14"/>
      <c r="E106" s="14"/>
      <c r="F106" s="14"/>
      <c r="G106" s="14"/>
      <c r="H106" s="14"/>
      <c r="I106" s="14"/>
      <c r="J106" s="111"/>
    </row>
    <row r="107" spans="2:10" x14ac:dyDescent="0.2">
      <c r="B107" s="114"/>
      <c r="C107" s="125" t="s">
        <v>149</v>
      </c>
      <c r="D107" s="14"/>
      <c r="E107" s="14"/>
      <c r="F107" s="14"/>
      <c r="G107" s="14"/>
      <c r="H107" s="14"/>
      <c r="I107" s="14"/>
      <c r="J107" s="111"/>
    </row>
    <row r="108" spans="2:10" x14ac:dyDescent="0.2">
      <c r="B108" s="114"/>
      <c r="C108" s="125" t="s">
        <v>133</v>
      </c>
      <c r="D108" s="14"/>
      <c r="E108" s="14"/>
      <c r="F108" s="14"/>
      <c r="G108" s="14"/>
      <c r="H108" s="14"/>
      <c r="I108" s="14"/>
      <c r="J108" s="111"/>
    </row>
    <row r="109" spans="2:10" ht="12.95" customHeight="1" x14ac:dyDescent="0.2">
      <c r="B109" s="114"/>
      <c r="C109" s="169" t="s">
        <v>76</v>
      </c>
      <c r="D109" s="169"/>
      <c r="E109" s="169"/>
      <c r="F109" s="116" t="s">
        <v>134</v>
      </c>
      <c r="G109" s="14"/>
      <c r="H109" s="14"/>
      <c r="I109" s="128"/>
      <c r="J109" s="111"/>
    </row>
    <row r="110" spans="2:10" x14ac:dyDescent="0.2">
      <c r="B110" s="114"/>
      <c r="C110" s="174" t="s">
        <v>150</v>
      </c>
      <c r="D110" s="174"/>
      <c r="E110" s="174"/>
      <c r="F110" s="117">
        <v>0.6</v>
      </c>
      <c r="G110" s="14"/>
      <c r="H110" s="14"/>
      <c r="I110" s="129"/>
      <c r="J110" s="111"/>
    </row>
    <row r="111" spans="2:10" x14ac:dyDescent="0.2">
      <c r="B111" s="114"/>
      <c r="C111" s="176" t="s">
        <v>79</v>
      </c>
      <c r="D111" s="176"/>
      <c r="E111" s="176"/>
      <c r="F111" s="118">
        <v>0.9</v>
      </c>
      <c r="G111" s="14"/>
      <c r="H111" s="14"/>
      <c r="I111" s="129"/>
      <c r="J111" s="111"/>
    </row>
    <row r="112" spans="2:10" x14ac:dyDescent="0.2">
      <c r="B112" s="114"/>
      <c r="C112" s="174" t="s">
        <v>81</v>
      </c>
      <c r="D112" s="174"/>
      <c r="E112" s="174"/>
      <c r="F112" s="117">
        <v>1.2</v>
      </c>
      <c r="G112" s="14"/>
      <c r="H112" s="14"/>
      <c r="I112" s="129"/>
      <c r="J112" s="111"/>
    </row>
    <row r="113" spans="2:10" x14ac:dyDescent="0.2">
      <c r="B113" s="114"/>
      <c r="C113" s="176" t="s">
        <v>151</v>
      </c>
      <c r="D113" s="176"/>
      <c r="E113" s="176"/>
      <c r="F113" s="118">
        <v>1.8</v>
      </c>
      <c r="G113" s="14"/>
      <c r="H113" s="14"/>
      <c r="I113" s="129"/>
      <c r="J113" s="111"/>
    </row>
    <row r="114" spans="2:10" x14ac:dyDescent="0.2">
      <c r="B114" s="114"/>
      <c r="C114" s="174" t="s">
        <v>83</v>
      </c>
      <c r="D114" s="174"/>
      <c r="E114" s="174"/>
      <c r="F114" s="117">
        <v>2.4</v>
      </c>
      <c r="G114" s="14"/>
      <c r="H114" s="14"/>
      <c r="I114" s="129"/>
      <c r="J114" s="111"/>
    </row>
    <row r="115" spans="2:10" x14ac:dyDescent="0.2">
      <c r="B115" s="114"/>
      <c r="C115" s="176" t="s">
        <v>152</v>
      </c>
      <c r="D115" s="176"/>
      <c r="E115" s="176"/>
      <c r="F115" s="118">
        <v>3.6</v>
      </c>
      <c r="G115" s="14"/>
      <c r="H115" s="14"/>
      <c r="I115" s="129"/>
      <c r="J115" s="111"/>
    </row>
    <row r="116" spans="2:10" x14ac:dyDescent="0.2">
      <c r="B116" s="114"/>
      <c r="C116" s="178" t="s">
        <v>153</v>
      </c>
      <c r="D116" s="178"/>
      <c r="E116" s="178"/>
      <c r="F116" s="119">
        <v>4.8</v>
      </c>
      <c r="G116" s="14"/>
      <c r="H116" s="14"/>
      <c r="I116" s="129"/>
      <c r="J116" s="111"/>
    </row>
    <row r="117" spans="2:10" x14ac:dyDescent="0.2">
      <c r="B117" s="114"/>
      <c r="C117" s="14"/>
      <c r="D117" s="14"/>
      <c r="E117" s="14"/>
      <c r="F117" s="14"/>
      <c r="G117" s="14"/>
      <c r="H117" s="14"/>
      <c r="I117" s="129"/>
      <c r="J117" s="111"/>
    </row>
    <row r="118" spans="2:10" x14ac:dyDescent="0.2">
      <c r="B118" s="114" t="s">
        <v>154</v>
      </c>
      <c r="C118" s="184" t="s">
        <v>155</v>
      </c>
      <c r="D118" s="184"/>
      <c r="E118" s="184"/>
      <c r="F118" s="184"/>
      <c r="G118" s="184"/>
      <c r="H118" s="184"/>
      <c r="I118" s="184"/>
      <c r="J118" s="184"/>
    </row>
    <row r="119" spans="2:10" x14ac:dyDescent="0.2">
      <c r="B119" s="114"/>
      <c r="C119" s="125" t="s">
        <v>156</v>
      </c>
      <c r="D119" s="14"/>
      <c r="E119" s="14"/>
      <c r="F119" s="14"/>
      <c r="G119" s="14"/>
      <c r="H119" s="14"/>
      <c r="I119" s="14"/>
      <c r="J119" s="111"/>
    </row>
    <row r="120" spans="2:10" x14ac:dyDescent="0.2">
      <c r="B120" s="114"/>
      <c r="C120" s="125" t="s">
        <v>157</v>
      </c>
      <c r="D120" s="14"/>
      <c r="E120" s="14"/>
      <c r="F120" s="14"/>
      <c r="G120" s="14"/>
      <c r="H120" s="14"/>
      <c r="I120" s="14"/>
      <c r="J120" s="111"/>
    </row>
    <row r="121" spans="2:10" x14ac:dyDescent="0.2">
      <c r="B121" s="114"/>
      <c r="C121" s="125" t="s">
        <v>158</v>
      </c>
      <c r="D121" s="14"/>
      <c r="E121" s="14"/>
      <c r="F121" s="14"/>
      <c r="G121" s="14"/>
      <c r="H121" s="14"/>
      <c r="I121" s="14"/>
      <c r="J121" s="111"/>
    </row>
    <row r="122" spans="2:10" x14ac:dyDescent="0.2">
      <c r="B122" s="114"/>
      <c r="C122" s="14"/>
      <c r="D122" s="14"/>
      <c r="E122" s="14"/>
      <c r="F122" s="14"/>
      <c r="G122" s="14"/>
      <c r="H122" s="14"/>
      <c r="I122" s="14"/>
      <c r="J122" s="111"/>
    </row>
    <row r="123" spans="2:10" x14ac:dyDescent="0.2">
      <c r="B123" s="114"/>
      <c r="C123" s="184" t="s">
        <v>159</v>
      </c>
      <c r="D123" s="184"/>
      <c r="E123" s="184"/>
      <c r="F123" s="184"/>
      <c r="G123" s="184"/>
      <c r="H123" s="184"/>
      <c r="I123" s="184"/>
      <c r="J123" s="184"/>
    </row>
    <row r="124" spans="2:10" x14ac:dyDescent="0.2">
      <c r="B124" s="114"/>
      <c r="C124" s="125" t="s">
        <v>160</v>
      </c>
      <c r="D124" s="14"/>
      <c r="E124" s="14"/>
      <c r="F124" s="14"/>
      <c r="G124" s="14"/>
      <c r="H124" s="14"/>
      <c r="I124" s="14"/>
      <c r="J124" s="111"/>
    </row>
    <row r="125" spans="2:10" x14ac:dyDescent="0.2">
      <c r="B125" s="114"/>
      <c r="C125" s="125" t="s">
        <v>161</v>
      </c>
      <c r="D125" s="14"/>
      <c r="E125" s="14"/>
      <c r="F125" s="14"/>
      <c r="G125" s="14"/>
      <c r="H125" s="14"/>
      <c r="I125" s="14"/>
      <c r="J125" s="111"/>
    </row>
    <row r="126" spans="2:10" x14ac:dyDescent="0.2">
      <c r="B126" s="114"/>
      <c r="C126" s="125" t="s">
        <v>162</v>
      </c>
      <c r="D126" s="14"/>
      <c r="E126" s="14"/>
      <c r="F126" s="14"/>
      <c r="G126" s="14"/>
      <c r="H126" s="14"/>
      <c r="I126" s="14"/>
      <c r="J126" s="111"/>
    </row>
    <row r="127" spans="2:10" x14ac:dyDescent="0.2">
      <c r="B127" s="114"/>
      <c r="C127" s="125" t="s">
        <v>163</v>
      </c>
      <c r="D127" s="14"/>
      <c r="E127" s="14"/>
      <c r="F127" s="14"/>
      <c r="G127" s="14"/>
      <c r="H127" s="14"/>
      <c r="I127" s="14"/>
      <c r="J127" s="111"/>
    </row>
    <row r="128" spans="2:10" x14ac:dyDescent="0.2">
      <c r="B128" s="114"/>
      <c r="C128" s="14"/>
      <c r="D128" s="14"/>
      <c r="E128" s="14"/>
      <c r="F128" s="14"/>
      <c r="G128" s="14"/>
      <c r="H128" s="14"/>
      <c r="I128" s="14"/>
      <c r="J128" s="111"/>
    </row>
    <row r="129" spans="2:10" x14ac:dyDescent="0.2">
      <c r="B129" s="114"/>
      <c r="C129" s="184" t="s">
        <v>164</v>
      </c>
      <c r="D129" s="184"/>
      <c r="E129" s="184"/>
      <c r="F129" s="184"/>
      <c r="G129" s="184"/>
      <c r="H129" s="184"/>
      <c r="I129" s="184"/>
      <c r="J129" s="184"/>
    </row>
    <row r="130" spans="2:10" x14ac:dyDescent="0.2">
      <c r="B130" s="114"/>
      <c r="C130" s="125" t="s">
        <v>165</v>
      </c>
      <c r="D130" s="14"/>
      <c r="E130" s="14"/>
      <c r="F130" s="14"/>
      <c r="G130" s="14"/>
      <c r="H130" s="14"/>
      <c r="I130" s="14"/>
      <c r="J130" s="111"/>
    </row>
    <row r="131" spans="2:10" x14ac:dyDescent="0.2">
      <c r="B131" s="114"/>
      <c r="C131" s="125" t="s">
        <v>166</v>
      </c>
      <c r="D131" s="14"/>
      <c r="E131" s="14"/>
      <c r="F131" s="14"/>
      <c r="G131" s="14"/>
      <c r="H131" s="14"/>
      <c r="I131" s="14"/>
      <c r="J131" s="111"/>
    </row>
    <row r="132" spans="2:10" x14ac:dyDescent="0.2">
      <c r="B132" s="114"/>
      <c r="C132" s="125" t="s">
        <v>199</v>
      </c>
      <c r="D132" s="14"/>
      <c r="E132" s="14"/>
      <c r="F132" s="14"/>
      <c r="G132" s="14"/>
      <c r="H132" s="14"/>
      <c r="I132" s="14"/>
      <c r="J132" s="111"/>
    </row>
    <row r="133" spans="2:10" x14ac:dyDescent="0.2">
      <c r="B133" s="114"/>
      <c r="C133" s="125" t="s">
        <v>167</v>
      </c>
      <c r="D133" s="14"/>
      <c r="E133" s="14"/>
      <c r="F133" s="14"/>
      <c r="G133" s="14"/>
      <c r="H133" s="14"/>
      <c r="I133" s="14"/>
      <c r="J133" s="111"/>
    </row>
    <row r="134" spans="2:10" x14ac:dyDescent="0.2">
      <c r="B134" s="114"/>
      <c r="C134" s="125" t="s">
        <v>163</v>
      </c>
      <c r="D134" s="14"/>
      <c r="E134" s="14"/>
      <c r="F134" s="14"/>
      <c r="G134" s="14"/>
      <c r="H134" s="14"/>
      <c r="I134" s="14"/>
      <c r="J134" s="111"/>
    </row>
    <row r="135" spans="2:10" x14ac:dyDescent="0.2">
      <c r="B135" s="114"/>
      <c r="C135" s="14"/>
      <c r="D135" s="14"/>
      <c r="E135" s="14"/>
      <c r="F135" s="14"/>
      <c r="G135" s="14"/>
      <c r="H135" s="14"/>
      <c r="I135" s="14"/>
      <c r="J135" s="111"/>
    </row>
    <row r="136" spans="2:10" x14ac:dyDescent="0.2">
      <c r="B136" s="114"/>
      <c r="C136" s="184" t="s">
        <v>168</v>
      </c>
      <c r="D136" s="184"/>
      <c r="E136" s="184"/>
      <c r="F136" s="184"/>
      <c r="G136" s="184"/>
      <c r="H136" s="184"/>
      <c r="I136" s="184"/>
      <c r="J136" s="184"/>
    </row>
    <row r="137" spans="2:10" x14ac:dyDescent="0.2">
      <c r="B137" s="114"/>
      <c r="C137" s="125" t="s">
        <v>169</v>
      </c>
      <c r="D137" s="14"/>
      <c r="E137" s="14"/>
      <c r="F137" s="14"/>
      <c r="G137" s="14"/>
      <c r="H137" s="14"/>
      <c r="I137" s="14"/>
      <c r="J137" s="111"/>
    </row>
    <row r="138" spans="2:10" x14ac:dyDescent="0.2">
      <c r="B138" s="114"/>
      <c r="C138" s="125" t="s">
        <v>170</v>
      </c>
      <c r="D138" s="14"/>
      <c r="E138" s="14"/>
      <c r="F138" s="14"/>
      <c r="G138" s="14"/>
      <c r="H138" s="14"/>
      <c r="I138" s="14"/>
      <c r="J138" s="111"/>
    </row>
    <row r="139" spans="2:10" x14ac:dyDescent="0.2">
      <c r="B139" s="114"/>
      <c r="C139" s="125" t="s">
        <v>171</v>
      </c>
      <c r="D139" s="14"/>
      <c r="E139" s="14"/>
      <c r="F139" s="14"/>
      <c r="G139" s="14"/>
      <c r="H139" s="14"/>
      <c r="I139" s="14"/>
      <c r="J139" s="111"/>
    </row>
    <row r="140" spans="2:10" x14ac:dyDescent="0.2">
      <c r="B140" s="114"/>
      <c r="C140" s="125" t="s">
        <v>172</v>
      </c>
      <c r="D140" s="14"/>
      <c r="E140" s="14"/>
      <c r="F140" s="14"/>
      <c r="G140" s="14"/>
      <c r="H140" s="14"/>
      <c r="I140" s="14"/>
      <c r="J140" s="111"/>
    </row>
    <row r="141" spans="2:10" x14ac:dyDescent="0.2">
      <c r="B141" s="130"/>
      <c r="C141" s="131"/>
      <c r="D141" s="131"/>
      <c r="E141" s="131"/>
      <c r="F141" s="131"/>
      <c r="G141" s="131"/>
      <c r="H141" s="131"/>
      <c r="I141" s="131"/>
      <c r="J141" s="132"/>
    </row>
    <row r="143" spans="2:10" x14ac:dyDescent="0.2">
      <c r="B143" s="105" t="s">
        <v>173</v>
      </c>
    </row>
    <row r="144" spans="2:10" x14ac:dyDescent="0.2">
      <c r="B144" s="106"/>
      <c r="C144" s="107"/>
      <c r="D144" s="107"/>
      <c r="E144" s="107"/>
      <c r="F144" s="107"/>
      <c r="G144" s="107"/>
      <c r="H144" s="107"/>
      <c r="I144" s="107"/>
      <c r="J144" s="108"/>
    </row>
    <row r="145" spans="2:10" x14ac:dyDescent="0.2">
      <c r="B145" s="109" t="s">
        <v>64</v>
      </c>
      <c r="C145" s="171" t="s">
        <v>174</v>
      </c>
      <c r="D145" s="171"/>
      <c r="E145" s="171"/>
      <c r="F145" s="171"/>
      <c r="G145" s="171"/>
      <c r="H145" s="171"/>
      <c r="I145" s="171"/>
      <c r="J145" s="171"/>
    </row>
    <row r="146" spans="2:10" x14ac:dyDescent="0.2">
      <c r="B146" s="109"/>
      <c r="C146" s="110"/>
      <c r="D146" s="14"/>
      <c r="E146" s="14"/>
      <c r="F146" s="14"/>
      <c r="G146" s="14"/>
      <c r="H146" s="14"/>
      <c r="I146" s="14"/>
      <c r="J146" s="111"/>
    </row>
    <row r="147" spans="2:10" x14ac:dyDescent="0.2">
      <c r="B147" s="109"/>
      <c r="C147" s="171" t="s">
        <v>175</v>
      </c>
      <c r="D147" s="171"/>
      <c r="E147" s="171"/>
      <c r="F147" s="171"/>
      <c r="G147" s="171"/>
      <c r="H147" s="171"/>
      <c r="I147" s="171"/>
      <c r="J147" s="171"/>
    </row>
    <row r="148" spans="2:10" x14ac:dyDescent="0.2">
      <c r="B148" s="109"/>
      <c r="C148" s="110"/>
      <c r="D148" s="14"/>
      <c r="E148" s="14"/>
      <c r="F148" s="14"/>
      <c r="G148" s="14"/>
      <c r="H148" s="14"/>
      <c r="I148" s="14"/>
      <c r="J148" s="111"/>
    </row>
    <row r="149" spans="2:10" x14ac:dyDescent="0.2">
      <c r="B149" s="109" t="s">
        <v>168</v>
      </c>
      <c r="C149" s="166" t="s">
        <v>176</v>
      </c>
      <c r="D149" s="166"/>
      <c r="E149" s="166"/>
      <c r="F149" s="166"/>
      <c r="G149" s="166"/>
      <c r="H149" s="166"/>
      <c r="I149" s="166"/>
      <c r="J149" s="166"/>
    </row>
    <row r="150" spans="2:10" x14ac:dyDescent="0.2">
      <c r="B150" s="109"/>
      <c r="C150" s="166" t="s">
        <v>177</v>
      </c>
      <c r="D150" s="166"/>
      <c r="E150" s="166"/>
      <c r="F150" s="166"/>
      <c r="G150" s="166"/>
      <c r="H150" s="166"/>
      <c r="I150" s="166"/>
      <c r="J150" s="166"/>
    </row>
    <row r="151" spans="2:10" x14ac:dyDescent="0.2">
      <c r="B151" s="109"/>
      <c r="C151" s="172"/>
      <c r="D151" s="172"/>
      <c r="E151" s="172"/>
      <c r="F151" s="172"/>
      <c r="G151" s="172"/>
      <c r="H151" s="172"/>
      <c r="I151" s="172"/>
      <c r="J151" s="172"/>
    </row>
    <row r="152" spans="2:10" x14ac:dyDescent="0.2">
      <c r="B152" s="109" t="s">
        <v>178</v>
      </c>
      <c r="C152" s="166" t="s">
        <v>179</v>
      </c>
      <c r="D152" s="166"/>
      <c r="E152" s="166"/>
      <c r="F152" s="166"/>
      <c r="G152" s="166"/>
      <c r="H152" s="166"/>
      <c r="I152" s="166"/>
      <c r="J152" s="166"/>
    </row>
    <row r="153" spans="2:10" x14ac:dyDescent="0.2">
      <c r="B153" s="109"/>
      <c r="C153" s="165" t="s">
        <v>180</v>
      </c>
      <c r="D153" s="165"/>
      <c r="E153" s="165"/>
      <c r="F153" s="165"/>
      <c r="G153" s="165"/>
      <c r="H153" s="165"/>
      <c r="I153" s="165"/>
      <c r="J153" s="165"/>
    </row>
    <row r="154" spans="2:10" x14ac:dyDescent="0.2">
      <c r="B154" s="109"/>
      <c r="C154" s="172" t="s">
        <v>181</v>
      </c>
      <c r="D154" s="172"/>
      <c r="E154" s="172" t="s">
        <v>182</v>
      </c>
      <c r="F154" s="172"/>
      <c r="G154" s="172"/>
      <c r="H154" s="172"/>
      <c r="I154" s="172"/>
      <c r="J154" s="172"/>
    </row>
    <row r="155" spans="2:10" x14ac:dyDescent="0.2">
      <c r="B155" s="109"/>
      <c r="C155" s="165" t="s">
        <v>50</v>
      </c>
      <c r="D155" s="165"/>
      <c r="E155" s="165">
        <v>1</v>
      </c>
      <c r="F155" s="165"/>
      <c r="G155" s="165"/>
      <c r="H155" s="165"/>
      <c r="I155" s="165"/>
      <c r="J155" s="165"/>
    </row>
    <row r="156" spans="2:10" x14ac:dyDescent="0.2">
      <c r="B156" s="109"/>
      <c r="C156" s="165" t="s">
        <v>53</v>
      </c>
      <c r="D156" s="165"/>
      <c r="E156" s="165">
        <v>2</v>
      </c>
      <c r="F156" s="165"/>
      <c r="G156" s="165"/>
      <c r="H156" s="165"/>
      <c r="I156" s="165"/>
      <c r="J156" s="165"/>
    </row>
    <row r="157" spans="2:10" x14ac:dyDescent="0.2">
      <c r="B157" s="109"/>
      <c r="C157" s="166" t="s">
        <v>54</v>
      </c>
      <c r="D157" s="166"/>
      <c r="E157" s="166">
        <v>3</v>
      </c>
      <c r="F157" s="166"/>
      <c r="G157" s="166"/>
      <c r="H157" s="166"/>
      <c r="I157" s="166"/>
      <c r="J157" s="166"/>
    </row>
    <row r="158" spans="2:10" x14ac:dyDescent="0.2">
      <c r="B158" s="109"/>
      <c r="C158" s="133" t="s">
        <v>183</v>
      </c>
      <c r="D158" s="14"/>
      <c r="E158" s="129"/>
      <c r="F158" s="14"/>
      <c r="G158" s="14"/>
      <c r="H158" s="14"/>
      <c r="I158" s="14"/>
      <c r="J158" s="111"/>
    </row>
    <row r="159" spans="2:10" x14ac:dyDescent="0.2">
      <c r="B159" s="109"/>
      <c r="C159" s="133" t="s">
        <v>184</v>
      </c>
      <c r="D159" s="14"/>
      <c r="E159" s="129"/>
      <c r="F159" s="14"/>
      <c r="G159" s="14"/>
      <c r="H159" s="14"/>
      <c r="I159" s="14"/>
      <c r="J159" s="111"/>
    </row>
    <row r="160" spans="2:10" x14ac:dyDescent="0.2">
      <c r="B160" s="109"/>
      <c r="C160" s="14"/>
      <c r="D160" s="14"/>
      <c r="E160" s="14"/>
      <c r="F160" s="14"/>
      <c r="G160" s="14"/>
      <c r="H160" s="14"/>
      <c r="I160" s="14"/>
      <c r="J160" s="111"/>
    </row>
    <row r="161" spans="2:10" x14ac:dyDescent="0.2">
      <c r="B161" s="109" t="s">
        <v>185</v>
      </c>
      <c r="C161" s="134" t="s">
        <v>186</v>
      </c>
      <c r="D161" s="14"/>
      <c r="E161" s="14"/>
      <c r="F161" s="14"/>
      <c r="G161" s="14"/>
      <c r="H161" s="14"/>
      <c r="I161" s="14"/>
      <c r="J161" s="111"/>
    </row>
    <row r="162" spans="2:10" x14ac:dyDescent="0.2">
      <c r="B162" s="109"/>
      <c r="C162" s="134" t="s">
        <v>187</v>
      </c>
      <c r="D162" s="14"/>
      <c r="E162" s="14"/>
      <c r="F162" s="14"/>
      <c r="G162" s="14"/>
      <c r="H162" s="14"/>
      <c r="I162" s="14"/>
      <c r="J162" s="111"/>
    </row>
    <row r="163" spans="2:10" x14ac:dyDescent="0.2">
      <c r="B163" s="109"/>
      <c r="C163" s="133" t="s">
        <v>188</v>
      </c>
      <c r="D163" s="14"/>
      <c r="E163" s="14"/>
      <c r="F163" s="14"/>
      <c r="G163" s="14"/>
      <c r="H163" s="14"/>
      <c r="I163" s="14"/>
      <c r="J163" s="111"/>
    </row>
    <row r="164" spans="2:10" x14ac:dyDescent="0.2">
      <c r="B164" s="109"/>
      <c r="C164" s="133" t="s">
        <v>189</v>
      </c>
      <c r="D164" s="14"/>
      <c r="E164" s="14"/>
      <c r="F164" s="14"/>
      <c r="G164" s="14"/>
      <c r="H164" s="14"/>
      <c r="I164" s="14"/>
      <c r="J164" s="111"/>
    </row>
    <row r="165" spans="2:10" x14ac:dyDescent="0.2">
      <c r="B165" s="109"/>
      <c r="C165" s="133" t="s">
        <v>190</v>
      </c>
      <c r="D165" s="14"/>
      <c r="E165" s="14"/>
      <c r="F165" s="14"/>
      <c r="G165" s="14"/>
      <c r="H165" s="14"/>
      <c r="I165" s="14"/>
      <c r="J165" s="111"/>
    </row>
    <row r="166" spans="2:10" x14ac:dyDescent="0.2">
      <c r="B166" s="109"/>
      <c r="C166" s="166"/>
      <c r="D166" s="166"/>
      <c r="E166" s="166"/>
      <c r="F166" s="166"/>
      <c r="G166" s="166"/>
      <c r="H166" s="166"/>
      <c r="I166" s="166"/>
      <c r="J166" s="166"/>
    </row>
    <row r="167" spans="2:10" x14ac:dyDescent="0.2">
      <c r="B167" s="109" t="s">
        <v>168</v>
      </c>
      <c r="C167" s="166" t="s">
        <v>191</v>
      </c>
      <c r="D167" s="166"/>
      <c r="E167" s="166"/>
      <c r="F167" s="166"/>
      <c r="G167" s="166"/>
      <c r="H167" s="166"/>
      <c r="I167" s="166"/>
      <c r="J167" s="166"/>
    </row>
    <row r="168" spans="2:10" x14ac:dyDescent="0.2">
      <c r="B168" s="109"/>
      <c r="C168" s="166" t="s">
        <v>192</v>
      </c>
      <c r="D168" s="166"/>
      <c r="E168" s="166"/>
      <c r="F168" s="166"/>
      <c r="G168" s="166"/>
      <c r="H168" s="166"/>
      <c r="I168" s="166"/>
      <c r="J168" s="166"/>
    </row>
    <row r="169" spans="2:10" x14ac:dyDescent="0.2">
      <c r="B169" s="109"/>
      <c r="C169" s="165" t="s">
        <v>193</v>
      </c>
      <c r="D169" s="165"/>
      <c r="E169" s="165"/>
      <c r="F169" s="165"/>
      <c r="G169" s="165"/>
      <c r="H169" s="165"/>
      <c r="I169" s="165"/>
      <c r="J169" s="165"/>
    </row>
    <row r="170" spans="2:10" x14ac:dyDescent="0.2">
      <c r="B170" s="135"/>
      <c r="C170" s="136" t="s">
        <v>194</v>
      </c>
      <c r="D170" s="131"/>
      <c r="E170" s="131"/>
      <c r="F170" s="131"/>
      <c r="G170" s="131"/>
      <c r="H170" s="131"/>
      <c r="I170" s="131"/>
      <c r="J170" s="132"/>
    </row>
  </sheetData>
  <mergeCells count="135">
    <mergeCell ref="C156:J156"/>
    <mergeCell ref="C157:J157"/>
    <mergeCell ref="C166:J166"/>
    <mergeCell ref="C167:J167"/>
    <mergeCell ref="C168:J168"/>
    <mergeCell ref="C169:J169"/>
    <mergeCell ref="C150:J150"/>
    <mergeCell ref="C151:J151"/>
    <mergeCell ref="C152:J152"/>
    <mergeCell ref="C153:J153"/>
    <mergeCell ref="C154:J154"/>
    <mergeCell ref="C155:J155"/>
    <mergeCell ref="C123:J123"/>
    <mergeCell ref="C129:J129"/>
    <mergeCell ref="C136:J136"/>
    <mergeCell ref="C145:J145"/>
    <mergeCell ref="C147:J147"/>
    <mergeCell ref="C149:J149"/>
    <mergeCell ref="C112:E112"/>
    <mergeCell ref="C113:E113"/>
    <mergeCell ref="C114:E114"/>
    <mergeCell ref="C115:E115"/>
    <mergeCell ref="C116:E116"/>
    <mergeCell ref="C118:J118"/>
    <mergeCell ref="C102:E102"/>
    <mergeCell ref="F102:H102"/>
    <mergeCell ref="C104:J104"/>
    <mergeCell ref="C109:E109"/>
    <mergeCell ref="C110:E110"/>
    <mergeCell ref="C111:E111"/>
    <mergeCell ref="C95:J95"/>
    <mergeCell ref="C99:E99"/>
    <mergeCell ref="F99:H99"/>
    <mergeCell ref="C100:E100"/>
    <mergeCell ref="F100:H100"/>
    <mergeCell ref="C101:E101"/>
    <mergeCell ref="F101:H101"/>
    <mergeCell ref="C85:J85"/>
    <mergeCell ref="C86:J86"/>
    <mergeCell ref="C88:J88"/>
    <mergeCell ref="C91:E91"/>
    <mergeCell ref="C92:E92"/>
    <mergeCell ref="C93:E93"/>
    <mergeCell ref="C81:E81"/>
    <mergeCell ref="F81:G81"/>
    <mergeCell ref="C82:E82"/>
    <mergeCell ref="F82:G82"/>
    <mergeCell ref="C83:E83"/>
    <mergeCell ref="F83:G83"/>
    <mergeCell ref="C77:J77"/>
    <mergeCell ref="C78:J78"/>
    <mergeCell ref="C79:E79"/>
    <mergeCell ref="F79:G79"/>
    <mergeCell ref="C80:E80"/>
    <mergeCell ref="F80:G80"/>
    <mergeCell ref="C73:E73"/>
    <mergeCell ref="F73:G73"/>
    <mergeCell ref="C74:E74"/>
    <mergeCell ref="F74:G74"/>
    <mergeCell ref="C75:E75"/>
    <mergeCell ref="F75:G75"/>
    <mergeCell ref="C66:G66"/>
    <mergeCell ref="C68:J68"/>
    <mergeCell ref="C69:J69"/>
    <mergeCell ref="C70:J70"/>
    <mergeCell ref="C71:J71"/>
    <mergeCell ref="C72:E72"/>
    <mergeCell ref="F72:G72"/>
    <mergeCell ref="C60:J60"/>
    <mergeCell ref="C61:J61"/>
    <mergeCell ref="C62:G62"/>
    <mergeCell ref="C63:G63"/>
    <mergeCell ref="C64:G64"/>
    <mergeCell ref="C65:G65"/>
    <mergeCell ref="C56:E56"/>
    <mergeCell ref="F56:G56"/>
    <mergeCell ref="C57:E57"/>
    <mergeCell ref="F57:G57"/>
    <mergeCell ref="C58:E58"/>
    <mergeCell ref="F58:G58"/>
    <mergeCell ref="C52:J52"/>
    <mergeCell ref="C53:J53"/>
    <mergeCell ref="C54:E54"/>
    <mergeCell ref="F54:G54"/>
    <mergeCell ref="C55:E55"/>
    <mergeCell ref="F55:G55"/>
    <mergeCell ref="C48:E48"/>
    <mergeCell ref="F48:G48"/>
    <mergeCell ref="C49:E49"/>
    <mergeCell ref="F49:G49"/>
    <mergeCell ref="C50:E50"/>
    <mergeCell ref="F50:G50"/>
    <mergeCell ref="C43:E43"/>
    <mergeCell ref="F43:G43"/>
    <mergeCell ref="C45:J45"/>
    <mergeCell ref="C46:J46"/>
    <mergeCell ref="C47:E47"/>
    <mergeCell ref="F47:G47"/>
    <mergeCell ref="C40:E40"/>
    <mergeCell ref="F40:G40"/>
    <mergeCell ref="C41:E41"/>
    <mergeCell ref="F41:G41"/>
    <mergeCell ref="C42:E42"/>
    <mergeCell ref="F42:G42"/>
    <mergeCell ref="C35:E35"/>
    <mergeCell ref="F35:G35"/>
    <mergeCell ref="C36:E36"/>
    <mergeCell ref="F36:G36"/>
    <mergeCell ref="C38:J38"/>
    <mergeCell ref="C39:J39"/>
    <mergeCell ref="C31:J31"/>
    <mergeCell ref="C32:J32"/>
    <mergeCell ref="C33:E33"/>
    <mergeCell ref="F33:G33"/>
    <mergeCell ref="C34:E34"/>
    <mergeCell ref="F34:G34"/>
    <mergeCell ref="C27:E27"/>
    <mergeCell ref="F27:G27"/>
    <mergeCell ref="C28:E28"/>
    <mergeCell ref="F28:G28"/>
    <mergeCell ref="C29:E29"/>
    <mergeCell ref="F29:G29"/>
    <mergeCell ref="C20:J20"/>
    <mergeCell ref="C21:J21"/>
    <mergeCell ref="C22:J22"/>
    <mergeCell ref="C24:J24"/>
    <mergeCell ref="C25:J25"/>
    <mergeCell ref="C26:E26"/>
    <mergeCell ref="F26:G26"/>
    <mergeCell ref="C10:J10"/>
    <mergeCell ref="C12:J12"/>
    <mergeCell ref="C14:J14"/>
    <mergeCell ref="C16:J16"/>
    <mergeCell ref="C17:J17"/>
    <mergeCell ref="C19:J19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Estimativa</vt:lpstr>
      <vt:lpstr>Recursos</vt:lpstr>
      <vt:lpstr>Instruções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sindadosba Bahia</dc:creator>
  <cp:lastModifiedBy>financeiro_sindadosba@hotmail.com</cp:lastModifiedBy>
  <dcterms:created xsi:type="dcterms:W3CDTF">2023-10-26T00:41:48Z</dcterms:created>
  <dcterms:modified xsi:type="dcterms:W3CDTF">2025-04-11T01:39:31Z</dcterms:modified>
</cp:coreProperties>
</file>